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sales" sheetId="1" r:id="rId5"/>
  </sheets>
  <definedNames>
    <definedName hidden="1" localSheetId="0" name="_xlnm._FilterDatabase">'2025sales'!$A$5:$T$54</definedName>
  </definedNames>
  <calcPr/>
</workbook>
</file>

<file path=xl/sharedStrings.xml><?xml version="1.0" encoding="utf-8"?>
<sst xmlns="http://schemas.openxmlformats.org/spreadsheetml/2006/main" count="40" uniqueCount="38">
  <si>
    <t>Total Inventory</t>
  </si>
  <si>
    <t>&lt;--TOTAL</t>
  </si>
  <si>
    <t>Remaining</t>
  </si>
  <si>
    <t>online</t>
  </si>
  <si>
    <t>TOTAL Self</t>
  </si>
  <si>
    <t>BOOTH</t>
  </si>
  <si>
    <t>TOTAL</t>
  </si>
  <si>
    <t>Sold</t>
  </si>
  <si>
    <t>Payments</t>
  </si>
  <si>
    <t>Orders &amp; Delivery</t>
  </si>
  <si>
    <t>Pick Up</t>
  </si>
  <si>
    <t>Full Name</t>
  </si>
  <si>
    <t>Contact Information</t>
  </si>
  <si>
    <t>Adventurefuls</t>
  </si>
  <si>
    <t>Exploremores</t>
  </si>
  <si>
    <t>Lemonades</t>
  </si>
  <si>
    <t>Trefoils</t>
  </si>
  <si>
    <t>Thin Mints</t>
  </si>
  <si>
    <t>Peanut Butter 
Patties</t>
  </si>
  <si>
    <t>Caramel deLites</t>
  </si>
  <si>
    <t>Peanut Butter Sandwich</t>
  </si>
  <si>
    <t>Caramel Chocolate Chip (GF)</t>
  </si>
  <si>
    <t>Cookie Share</t>
  </si>
  <si>
    <t>Total Boxes</t>
  </si>
  <si>
    <t>Amount Due</t>
  </si>
  <si>
    <t>Amount Paid</t>
  </si>
  <si>
    <t>Amount Owed</t>
  </si>
  <si>
    <t>Payment Method</t>
  </si>
  <si>
    <t>Online Order</t>
  </si>
  <si>
    <t>Packed</t>
  </si>
  <si>
    <t xml:space="preserve">Delivered </t>
  </si>
  <si>
    <t>Initial</t>
  </si>
  <si>
    <t>Notes</t>
  </si>
  <si>
    <t>Mrs. Cookie Ferret</t>
  </si>
  <si>
    <t>1 Cookie Way</t>
  </si>
  <si>
    <t>Subtotal</t>
  </si>
  <si>
    <t>Online Shipped</t>
  </si>
  <si>
    <t>Online Donated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</si>
</sst>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0;\-0;;@\ "/>
  </numFmts>
  <fonts count="16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i/>
      <sz val="12.0"/>
      <color rgb="FF00B050"/>
      <name val="Calibri"/>
    </font>
    <font>
      <b/>
      <sz val="12.0"/>
      <color rgb="FF000000"/>
      <name val="Calibri"/>
    </font>
    <font>
      <b/>
      <sz val="12.0"/>
      <color rgb="FF00B050"/>
      <name val="Calibri"/>
    </font>
    <font/>
    <font>
      <b/>
      <sz val="12.0"/>
      <color rgb="FF524123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2.0"/>
      <color rgb="FF00662E"/>
      <name val="Calibri"/>
    </font>
    <font>
      <b/>
      <sz val="12.0"/>
      <color rgb="FFFF0000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5EDDF"/>
        <bgColor rgb="FFF5EDDF"/>
      </patternFill>
    </fill>
    <fill>
      <patternFill patternType="solid">
        <fgColor rgb="FFEAD1DC"/>
        <bgColor rgb="FFEAD1DC"/>
      </patternFill>
    </fill>
    <fill>
      <patternFill patternType="solid">
        <fgColor rgb="FFFCF1BC"/>
        <bgColor rgb="FFFCF1BC"/>
      </patternFill>
    </fill>
    <fill>
      <patternFill patternType="solid">
        <fgColor rgb="FFC6E9FE"/>
        <bgColor rgb="FFC6E9FE"/>
      </patternFill>
    </fill>
    <fill>
      <patternFill patternType="solid">
        <fgColor rgb="FFD8F0E3"/>
        <bgColor rgb="FFD8F0E3"/>
      </patternFill>
    </fill>
    <fill>
      <patternFill patternType="solid">
        <fgColor rgb="FFF9CFCF"/>
        <bgColor rgb="FFF9CFCF"/>
      </patternFill>
    </fill>
    <fill>
      <patternFill patternType="solid">
        <fgColor rgb="FFEBD3F1"/>
        <bgColor rgb="FFEBD3F1"/>
      </patternFill>
    </fill>
    <fill>
      <patternFill patternType="solid">
        <fgColor rgb="FFFBE3C9"/>
        <bgColor rgb="FFFBE3C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ABF8F"/>
        <bgColor rgb="FFFABF8F"/>
      </patternFill>
    </fill>
    <fill>
      <patternFill patternType="solid">
        <fgColor rgb="FFDECEB1"/>
        <bgColor rgb="FFDECEB1"/>
      </patternFill>
    </fill>
    <fill>
      <patternFill patternType="solid">
        <fgColor rgb="FFC27BA0"/>
        <bgColor rgb="FFC27BA0"/>
      </patternFill>
    </fill>
    <fill>
      <patternFill patternType="solid">
        <fgColor rgb="FFF4CE13"/>
        <bgColor rgb="FFF4CE13"/>
      </patternFill>
    </fill>
    <fill>
      <patternFill patternType="solid">
        <fgColor rgb="FF0175BE"/>
        <bgColor rgb="FF0175BE"/>
      </patternFill>
    </fill>
    <fill>
      <patternFill patternType="solid">
        <fgColor rgb="FF009F4F"/>
        <bgColor rgb="FF009F4F"/>
      </patternFill>
    </fill>
    <fill>
      <patternFill patternType="solid">
        <fgColor rgb="FFE22627"/>
        <bgColor rgb="FFE22627"/>
      </patternFill>
    </fill>
    <fill>
      <patternFill patternType="solid">
        <fgColor rgb="FF732A83"/>
        <bgColor rgb="FF732A83"/>
      </patternFill>
    </fill>
    <fill>
      <patternFill patternType="solid">
        <fgColor rgb="FFF08B21"/>
        <bgColor rgb="FFF08B21"/>
      </patternFill>
    </fill>
    <fill>
      <patternFill patternType="solid">
        <fgColor rgb="FF1155CC"/>
        <bgColor rgb="FF1155CC"/>
      </patternFill>
    </fill>
    <fill>
      <patternFill patternType="solid">
        <fgColor rgb="FF666666"/>
        <bgColor rgb="FF666666"/>
      </patternFill>
    </fill>
    <fill>
      <patternFill patternType="solid">
        <fgColor rgb="FFF7E0A6"/>
        <bgColor rgb="FFF7E0A6"/>
      </patternFill>
    </fill>
    <fill>
      <patternFill patternType="solid">
        <fgColor rgb="FFDAF2E4"/>
        <bgColor rgb="FFDAF2E4"/>
      </patternFill>
    </fill>
    <fill>
      <patternFill patternType="solid">
        <fgColor rgb="FFABDEC0"/>
        <bgColor rgb="FFABDEC0"/>
      </patternFill>
    </fill>
    <fill>
      <patternFill patternType="solid">
        <fgColor rgb="FFFBEFD1"/>
        <bgColor rgb="FFFBEFD1"/>
      </patternFill>
    </fill>
    <fill>
      <patternFill patternType="solid">
        <fgColor rgb="FFEBFAF1"/>
        <bgColor rgb="FFEBFAF1"/>
      </patternFill>
    </fill>
    <fill>
      <patternFill patternType="solid">
        <fgColor rgb="FFB6F0CE"/>
        <bgColor rgb="FFB6F0CE"/>
      </patternFill>
    </fill>
    <fill>
      <patternFill patternType="solid">
        <fgColor rgb="FFCCCCCC"/>
        <bgColor rgb="FFCCCCCC"/>
      </patternFill>
    </fill>
    <fill>
      <patternFill patternType="solid">
        <fgColor rgb="FFAAE070"/>
        <bgColor rgb="FFAAE070"/>
      </patternFill>
    </fill>
  </fills>
  <borders count="64">
    <border/>
    <border>
      <left style="thick">
        <color rgb="FF000000"/>
      </left>
      <right style="thin">
        <color rgb="FF7F7F7F"/>
      </right>
      <top style="thick">
        <color rgb="FF000000"/>
      </top>
      <bottom style="thick">
        <color rgb="FF000000"/>
      </bottom>
    </border>
    <border>
      <left/>
      <right style="thin">
        <color rgb="FF7F7F7F"/>
      </right>
      <top style="thick">
        <color rgb="FF000000"/>
      </top>
      <bottom style="thick">
        <color rgb="FF000000"/>
      </bottom>
    </border>
    <border>
      <left style="thin">
        <color rgb="FF7F7F7F"/>
      </left>
      <right style="thin">
        <color rgb="FF7F7F7F"/>
      </right>
      <top style="thick">
        <color rgb="FF000000"/>
      </top>
      <bottom style="thick">
        <color rgb="FF000000"/>
      </bottom>
    </border>
    <border>
      <left style="thin">
        <color rgb="FF7F7F7F"/>
      </left>
      <right/>
      <top style="thick">
        <color rgb="FF000000"/>
      </top>
      <bottom style="thick">
        <color rgb="FF000000"/>
      </bottom>
    </border>
    <border>
      <left style="thin">
        <color rgb="FF7F7F7F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thin">
        <color rgb="FF7F7F7F"/>
      </bottom>
    </border>
    <border>
      <bottom style="thin">
        <color rgb="FF7F7F7F"/>
      </bottom>
    </border>
    <border>
      <left style="medium">
        <color rgb="FF000000"/>
      </left>
      <right style="medium">
        <color rgb="FF000000"/>
      </right>
      <bottom style="thin">
        <color rgb="FF7F7F7F"/>
      </bottom>
    </border>
    <border>
      <right style="thick">
        <color rgb="FF000000"/>
      </right>
      <bottom style="thin">
        <color rgb="FF7F7F7F"/>
      </bottom>
    </border>
    <border>
      <top style="medium">
        <color rgb="FF000000"/>
      </top>
      <bottom style="thin">
        <color rgb="FF7F7F7F"/>
      </bottom>
    </border>
    <border>
      <left style="medium">
        <color rgb="FF000000"/>
      </left>
      <top style="medium">
        <color rgb="FF000000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</border>
    <border>
      <left/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right/>
      <top style="thin">
        <color rgb="FF7F7F7F"/>
      </top>
      <bottom style="medium">
        <color rgb="FF000000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</border>
    <border>
      <right style="thick">
        <color rgb="FF000000"/>
      </right>
      <top style="thin">
        <color rgb="FF7F7F7F"/>
      </top>
      <bottom style="medium">
        <color rgb="FF000000"/>
      </bottom>
    </border>
    <border>
      <right style="thin">
        <color rgb="FF7F7F7F"/>
      </right>
      <top style="thin">
        <color rgb="FF7F7F7F"/>
      </top>
      <bottom style="medium">
        <color rgb="FF000000"/>
      </bottom>
    </border>
    <border>
      <left style="thin">
        <color rgb="FF7F7F7F"/>
      </left>
      <top style="thin">
        <color rgb="FF7F7F7F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/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</border>
    <border>
      <left style="thin">
        <color rgb="FF7F7F7F"/>
      </left>
      <right style="medium">
        <color rgb="FF000000"/>
      </right>
      <top style="thin">
        <color rgb="FF7F7F7F"/>
      </top>
    </border>
    <border>
      <right style="thick">
        <color rgb="FF000000"/>
      </right>
      <top style="thin">
        <color rgb="FF7F7F7F"/>
      </top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right style="thick">
        <color rgb="FF000000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medium">
        <color rgb="FF000000"/>
      </left>
      <right/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7F7F7F"/>
      </right>
      <top style="thick">
        <color rgb="FF000000"/>
      </top>
      <bottom style="thick">
        <color rgb="FF000000"/>
      </bottom>
    </border>
    <border>
      <left style="thin">
        <color rgb="FF7F7F7F"/>
      </left>
      <top style="thick">
        <color rgb="FF000000"/>
      </top>
      <bottom style="thick">
        <color rgb="FF000000"/>
      </bottom>
    </border>
    <border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7F7F7F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7F7F7F"/>
      </right>
    </border>
    <border>
      <right style="thin">
        <color rgb="FF7F7F7F"/>
      </right>
    </border>
    <border>
      <left/>
      <right style="thin">
        <color rgb="FF7F7F7F"/>
      </right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/>
    </border>
    <border>
      <left style="thin">
        <color rgb="FF7F7F7F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 readingOrder="0" shrinkToFit="0" wrapText="1"/>
    </xf>
    <xf borderId="0" fillId="3" fontId="2" numFmtId="3" xfId="0" applyAlignment="1" applyFill="1" applyFont="1" applyNumberFormat="1">
      <alignment horizontal="center" readingOrder="0"/>
    </xf>
    <xf borderId="0" fillId="4" fontId="2" numFmtId="3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vertical="center"/>
    </xf>
    <xf borderId="0" fillId="2" fontId="2" numFmtId="0" xfId="0" applyAlignment="1" applyFill="1" applyFont="1">
      <alignment horizontal="left" readingOrder="0" shrinkToFit="0" vertical="center" wrapText="1"/>
    </xf>
    <xf borderId="1" fillId="5" fontId="2" numFmtId="1" xfId="0" applyAlignment="1" applyBorder="1" applyFill="1" applyFont="1" applyNumberFormat="1">
      <alignment horizontal="center" vertical="center"/>
    </xf>
    <xf borderId="2" fillId="6" fontId="2" numFmtId="1" xfId="0" applyAlignment="1" applyBorder="1" applyFill="1" applyFont="1" applyNumberFormat="1">
      <alignment horizontal="center" vertical="center"/>
    </xf>
    <xf borderId="2" fillId="7" fontId="2" numFmtId="1" xfId="0" applyAlignment="1" applyBorder="1" applyFill="1" applyFont="1" applyNumberFormat="1">
      <alignment horizontal="center" vertical="center"/>
    </xf>
    <xf borderId="3" fillId="8" fontId="2" numFmtId="1" xfId="0" applyAlignment="1" applyBorder="1" applyFill="1" applyFont="1" applyNumberFormat="1">
      <alignment horizontal="center" vertical="center"/>
    </xf>
    <xf borderId="3" fillId="9" fontId="2" numFmtId="1" xfId="0" applyAlignment="1" applyBorder="1" applyFill="1" applyFont="1" applyNumberFormat="1">
      <alignment horizontal="center" vertical="center"/>
    </xf>
    <xf borderId="3" fillId="10" fontId="2" numFmtId="1" xfId="0" applyAlignment="1" applyBorder="1" applyFill="1" applyFont="1" applyNumberFormat="1">
      <alignment horizontal="center" vertical="center"/>
    </xf>
    <xf borderId="3" fillId="11" fontId="2" numFmtId="1" xfId="0" applyAlignment="1" applyBorder="1" applyFill="1" applyFont="1" applyNumberFormat="1">
      <alignment horizontal="center" vertical="center"/>
    </xf>
    <xf borderId="3" fillId="12" fontId="2" numFmtId="1" xfId="0" applyAlignment="1" applyBorder="1" applyFill="1" applyFont="1" applyNumberFormat="1">
      <alignment horizontal="center" vertical="center"/>
    </xf>
    <xf borderId="4" fillId="13" fontId="2" numFmtId="1" xfId="0" applyAlignment="1" applyBorder="1" applyFill="1" applyFont="1" applyNumberFormat="1">
      <alignment horizontal="center" vertical="center"/>
    </xf>
    <xf borderId="5" fillId="14" fontId="2" numFmtId="1" xfId="0" applyAlignment="1" applyBorder="1" applyFill="1" applyFont="1" applyNumberFormat="1">
      <alignment horizontal="center" vertical="center"/>
    </xf>
    <xf borderId="6" fillId="15" fontId="4" numFmtId="1" xfId="0" applyAlignment="1" applyBorder="1" applyFill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wrapText="1"/>
    </xf>
    <xf borderId="7" fillId="0" fontId="2" numFmtId="165" xfId="0" applyAlignment="1" applyBorder="1" applyFont="1" applyNumberFormat="1">
      <alignment horizontal="center" readingOrder="0"/>
    </xf>
    <xf borderId="8" fillId="0" fontId="6" numFmtId="0" xfId="0" applyBorder="1" applyFont="1"/>
    <xf borderId="9" fillId="4" fontId="2" numFmtId="165" xfId="0" applyAlignment="1" applyBorder="1" applyFill="1" applyFont="1" applyNumberFormat="1">
      <alignment horizontal="center" readingOrder="0"/>
    </xf>
    <xf borderId="10" fillId="4" fontId="2" numFmtId="165" xfId="0" applyAlignment="1" applyBorder="1" applyFill="1" applyFont="1" applyNumberFormat="1">
      <alignment horizontal="center" readingOrder="0"/>
    </xf>
    <xf borderId="11" fillId="0" fontId="2" numFmtId="164" xfId="0" applyAlignment="1" applyBorder="1" applyFont="1" applyNumberFormat="1">
      <alignment horizontal="center"/>
    </xf>
    <xf borderId="11" fillId="0" fontId="6" numFmtId="0" xfId="0" applyBorder="1" applyFont="1"/>
    <xf borderId="12" fillId="0" fontId="2" numFmtId="0" xfId="0" applyAlignment="1" applyBorder="1" applyFont="1">
      <alignment horizontal="center"/>
    </xf>
    <xf borderId="13" fillId="0" fontId="2" numFmtId="0" xfId="0" applyAlignment="1" applyBorder="1" applyFont="1">
      <alignment shrinkToFit="0" wrapText="1"/>
    </xf>
    <xf borderId="14" fillId="0" fontId="2" numFmtId="49" xfId="0" applyAlignment="1" applyBorder="1" applyFont="1" applyNumberFormat="1">
      <alignment horizontal="left" shrinkToFit="0" wrapText="1"/>
    </xf>
    <xf borderId="14" fillId="0" fontId="2" numFmtId="0" xfId="0" applyAlignment="1" applyBorder="1" applyFont="1">
      <alignment horizontal="left" shrinkToFit="0" wrapText="1"/>
    </xf>
    <xf borderId="15" fillId="16" fontId="7" numFmtId="0" xfId="0" applyAlignment="1" applyBorder="1" applyFill="1" applyFont="1">
      <alignment textRotation="90"/>
    </xf>
    <xf borderId="16" fillId="17" fontId="4" numFmtId="0" xfId="0" applyAlignment="1" applyBorder="1" applyFill="1" applyFont="1">
      <alignment readingOrder="0" textRotation="90"/>
    </xf>
    <xf borderId="16" fillId="18" fontId="5" numFmtId="0" xfId="0" applyAlignment="1" applyBorder="1" applyFill="1" applyFont="1">
      <alignment readingOrder="0" textRotation="90"/>
    </xf>
    <xf borderId="17" fillId="19" fontId="8" numFmtId="0" xfId="0" applyAlignment="1" applyBorder="1" applyFill="1" applyFont="1">
      <alignment textRotation="90"/>
    </xf>
    <xf borderId="18" fillId="20" fontId="8" numFmtId="0" xfId="0" applyAlignment="1" applyBorder="1" applyFill="1" applyFont="1">
      <alignment shrinkToFit="0" textRotation="90" wrapText="1"/>
    </xf>
    <xf borderId="17" fillId="21" fontId="9" numFmtId="0" xfId="0" applyAlignment="1" applyBorder="1" applyFill="1" applyFont="1">
      <alignment readingOrder="0" shrinkToFit="0" textRotation="90" wrapText="1"/>
    </xf>
    <xf borderId="17" fillId="22" fontId="9" numFmtId="0" xfId="0" applyAlignment="1" applyBorder="1" applyFill="1" applyFont="1">
      <alignment readingOrder="0" shrinkToFit="0" textRotation="90" wrapText="1"/>
    </xf>
    <xf borderId="17" fillId="23" fontId="9" numFmtId="0" xfId="0" applyAlignment="1" applyBorder="1" applyFill="1" applyFont="1">
      <alignment readingOrder="0" shrinkToFit="0" textRotation="90" wrapText="1"/>
    </xf>
    <xf borderId="19" fillId="24" fontId="9" numFmtId="0" xfId="0" applyAlignment="1" applyBorder="1" applyFill="1" applyFont="1">
      <alignment readingOrder="0" shrinkToFit="0" textRotation="90" wrapText="1"/>
    </xf>
    <xf borderId="20" fillId="25" fontId="9" numFmtId="0" xfId="0" applyAlignment="1" applyBorder="1" applyFill="1" applyFont="1">
      <alignment readingOrder="0" shrinkToFit="0" textRotation="90" wrapText="1"/>
    </xf>
    <xf borderId="21" fillId="0" fontId="2" numFmtId="0" xfId="0" applyAlignment="1" applyBorder="1" applyFont="1">
      <alignment textRotation="90"/>
    </xf>
    <xf borderId="17" fillId="0" fontId="2" numFmtId="164" xfId="0" applyAlignment="1" applyBorder="1" applyFont="1" applyNumberFormat="1">
      <alignment shrinkToFit="0" textRotation="90" wrapText="1"/>
    </xf>
    <xf borderId="17" fillId="26" fontId="2" numFmtId="0" xfId="0" applyAlignment="1" applyBorder="1" applyFill="1" applyFont="1">
      <alignment textRotation="90"/>
    </xf>
    <xf borderId="22" fillId="0" fontId="2" numFmtId="0" xfId="0" applyAlignment="1" applyBorder="1" applyFont="1">
      <alignment shrinkToFit="0" textRotation="90" wrapText="1"/>
    </xf>
    <xf borderId="15" fillId="27" fontId="2" numFmtId="0" xfId="0" applyAlignment="1" applyBorder="1" applyFill="1" applyFont="1">
      <alignment shrinkToFit="0" textRotation="90" wrapText="1"/>
    </xf>
    <xf borderId="17" fillId="27" fontId="2" numFmtId="0" xfId="0" applyAlignment="1" applyBorder="1" applyFill="1" applyFont="1">
      <alignment shrinkToFit="0" textRotation="90" wrapText="1"/>
    </xf>
    <xf borderId="18" fillId="27" fontId="2" numFmtId="0" xfId="0" applyAlignment="1" applyBorder="1" applyFill="1" applyFont="1">
      <alignment textRotation="90"/>
    </xf>
    <xf borderId="23" fillId="28" fontId="2" numFmtId="0" xfId="0" applyAlignment="1" applyBorder="1" applyFill="1" applyFont="1">
      <alignment textRotation="90"/>
    </xf>
    <xf borderId="24" fillId="0" fontId="2" numFmtId="0" xfId="0" applyBorder="1" applyFont="1"/>
    <xf borderId="14" fillId="0" fontId="1" numFmtId="166" xfId="0" applyAlignment="1" applyBorder="1" applyFont="1" applyNumberFormat="1">
      <alignment horizontal="left" readingOrder="0" shrinkToFit="0" vertical="center" wrapText="1"/>
    </xf>
    <xf borderId="14" fillId="0" fontId="1" numFmtId="0" xfId="0" applyAlignment="1" applyBorder="1" applyFont="1">
      <alignment horizontal="left" readingOrder="0" shrinkToFit="0" vertical="center" wrapText="1"/>
    </xf>
    <xf borderId="25" fillId="5" fontId="1" numFmtId="0" xfId="0" applyAlignment="1" applyBorder="1" applyFill="1" applyFont="1">
      <alignment horizontal="center" readingOrder="0" vertical="center"/>
    </xf>
    <xf borderId="26" fillId="6" fontId="1" numFmtId="0" xfId="0" applyAlignment="1" applyBorder="1" applyFill="1" applyFont="1">
      <alignment horizontal="center" readingOrder="0" vertical="center"/>
    </xf>
    <xf borderId="27" fillId="3" fontId="1" numFmtId="0" xfId="0" applyAlignment="1" applyBorder="1" applyFill="1" applyFont="1">
      <alignment horizontal="center" readingOrder="0" vertical="center"/>
    </xf>
    <xf borderId="28" fillId="8" fontId="1" numFmtId="0" xfId="0" applyAlignment="1" applyBorder="1" applyFill="1" applyFont="1">
      <alignment horizontal="center" readingOrder="0" vertical="center"/>
    </xf>
    <xf borderId="29" fillId="9" fontId="1" numFmtId="0" xfId="0" applyAlignment="1" applyBorder="1" applyFill="1" applyFont="1">
      <alignment horizontal="center" readingOrder="0" vertical="center"/>
    </xf>
    <xf borderId="28" fillId="10" fontId="1" numFmtId="0" xfId="0" applyAlignment="1" applyBorder="1" applyFill="1" applyFont="1">
      <alignment horizontal="center" readingOrder="0" vertical="center"/>
    </xf>
    <xf borderId="28" fillId="11" fontId="1" numFmtId="0" xfId="0" applyAlignment="1" applyBorder="1" applyFill="1" applyFont="1">
      <alignment horizontal="center" readingOrder="0" vertical="center"/>
    </xf>
    <xf borderId="28" fillId="12" fontId="1" numFmtId="0" xfId="0" applyAlignment="1" applyBorder="1" applyFill="1" applyFont="1">
      <alignment horizontal="center" readingOrder="0" vertical="center"/>
    </xf>
    <xf borderId="30" fillId="13" fontId="1" numFmtId="0" xfId="0" applyAlignment="1" applyBorder="1" applyFill="1" applyFont="1">
      <alignment horizontal="center" readingOrder="0" vertical="center"/>
    </xf>
    <xf borderId="31" fillId="14" fontId="1" numFmtId="0" xfId="0" applyAlignment="1" applyBorder="1" applyFill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4" fillId="29" fontId="1" numFmtId="164" xfId="0" applyAlignment="1" applyBorder="1" applyFill="1" applyFont="1" applyNumberFormat="1">
      <alignment horizontal="center" readingOrder="0" vertical="center"/>
    </xf>
    <xf borderId="14" fillId="29" fontId="1" numFmtId="164" xfId="0" applyAlignment="1" applyBorder="1" applyFill="1" applyFont="1" applyNumberFormat="1">
      <alignment horizontal="center" vertical="center"/>
    </xf>
    <xf borderId="29" fillId="0" fontId="1" numFmtId="166" xfId="0" applyAlignment="1" applyBorder="1" applyFont="1" applyNumberFormat="1">
      <alignment horizontal="center" vertical="center"/>
    </xf>
    <xf borderId="25" fillId="30" fontId="1" numFmtId="0" xfId="0" applyAlignment="1" applyBorder="1" applyFill="1" applyFont="1">
      <alignment horizontal="center" vertical="center"/>
    </xf>
    <xf borderId="28" fillId="30" fontId="1" numFmtId="0" xfId="0" applyAlignment="1" applyBorder="1" applyFill="1" applyFont="1">
      <alignment horizontal="center" readingOrder="0" vertical="center"/>
    </xf>
    <xf borderId="33" fillId="30" fontId="1" numFmtId="0" xfId="0" applyAlignment="1" applyBorder="1" applyFill="1" applyFont="1">
      <alignment horizontal="center" vertical="center"/>
    </xf>
    <xf borderId="34" fillId="31" fontId="1" numFmtId="0" xfId="0" applyAlignment="1" applyBorder="1" applyFill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5" fontId="1" numFmtId="0" xfId="0" applyAlignment="1" applyBorder="1" applyFill="1" applyFont="1">
      <alignment horizontal="center" readingOrder="0" vertical="center"/>
    </xf>
    <xf borderId="32" fillId="6" fontId="1" numFmtId="0" xfId="0" applyAlignment="1" applyBorder="1" applyFill="1" applyFont="1">
      <alignment horizontal="center" readingOrder="0" vertical="center"/>
    </xf>
    <xf borderId="37" fillId="3" fontId="1" numFmtId="0" xfId="0" applyAlignment="1" applyBorder="1" applyFill="1" applyFont="1">
      <alignment horizontal="center" readingOrder="0" vertical="center"/>
    </xf>
    <xf borderId="14" fillId="8" fontId="1" numFmtId="0" xfId="0" applyAlignment="1" applyBorder="1" applyFill="1" applyFont="1">
      <alignment horizontal="center" readingOrder="0" vertical="center"/>
    </xf>
    <xf borderId="14" fillId="9" fontId="1" numFmtId="0" xfId="0" applyAlignment="1" applyBorder="1" applyFill="1" applyFont="1">
      <alignment horizontal="center" readingOrder="0" vertical="center"/>
    </xf>
    <xf borderId="14" fillId="10" fontId="1" numFmtId="0" xfId="0" applyAlignment="1" applyBorder="1" applyFill="1" applyFont="1">
      <alignment horizontal="center" readingOrder="0" vertical="center"/>
    </xf>
    <xf borderId="14" fillId="11" fontId="1" numFmtId="0" xfId="0" applyAlignment="1" applyBorder="1" applyFill="1" applyFont="1">
      <alignment horizontal="center" readingOrder="0" vertical="center"/>
    </xf>
    <xf borderId="14" fillId="12" fontId="1" numFmtId="0" xfId="0" applyAlignment="1" applyBorder="1" applyFill="1" applyFont="1">
      <alignment horizontal="center" readingOrder="0" vertical="center"/>
    </xf>
    <xf borderId="38" fillId="13" fontId="1" numFmtId="0" xfId="0" applyAlignment="1" applyBorder="1" applyFill="1" applyFont="1">
      <alignment horizontal="center" readingOrder="0" vertical="center"/>
    </xf>
    <xf borderId="39" fillId="14" fontId="1" numFmtId="0" xfId="0" applyAlignment="1" applyBorder="1" applyFill="1" applyFont="1">
      <alignment horizontal="center" vertical="center"/>
    </xf>
    <xf borderId="40" fillId="0" fontId="1" numFmtId="166" xfId="0" applyAlignment="1" applyBorder="1" applyFont="1" applyNumberFormat="1">
      <alignment horizontal="center" vertical="center"/>
    </xf>
    <xf borderId="36" fillId="30" fontId="1" numFmtId="0" xfId="0" applyAlignment="1" applyBorder="1" applyFill="1" applyFont="1">
      <alignment horizontal="center" vertical="center"/>
    </xf>
    <xf borderId="14" fillId="30" fontId="1" numFmtId="0" xfId="0" applyAlignment="1" applyBorder="1" applyFill="1" applyFont="1">
      <alignment horizontal="center" readingOrder="0" vertical="center"/>
    </xf>
    <xf borderId="41" fillId="30" fontId="1" numFmtId="0" xfId="0" applyAlignment="1" applyBorder="1" applyFill="1" applyFont="1">
      <alignment horizontal="center" vertical="center"/>
    </xf>
    <xf borderId="42" fillId="31" fontId="1" numFmtId="0" xfId="0" applyAlignment="1" applyBorder="1" applyFill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39" fillId="14" fontId="1" numFmtId="0" xfId="0" applyAlignment="1" applyBorder="1" applyFill="1" applyFont="1">
      <alignment horizontal="center" readingOrder="0" vertical="center"/>
    </xf>
    <xf borderId="41" fillId="30" fontId="1" numFmtId="0" xfId="0" applyAlignment="1" applyBorder="1" applyFill="1" applyFont="1">
      <alignment horizontal="center" readingOrder="0" vertical="center"/>
    </xf>
    <xf borderId="43" fillId="0" fontId="1" numFmtId="0" xfId="0" applyAlignment="1" applyBorder="1" applyFont="1">
      <alignment horizontal="center" readingOrder="0" vertical="center"/>
    </xf>
    <xf borderId="36" fillId="30" fontId="1" numFmtId="0" xfId="0" applyAlignment="1" applyBorder="1" applyFill="1" applyFont="1">
      <alignment horizontal="center" readingOrder="0" vertical="center"/>
    </xf>
    <xf borderId="14" fillId="0" fontId="1" numFmtId="0" xfId="0" applyAlignment="1" applyBorder="1" applyFont="1">
      <alignment horizontal="left" shrinkToFit="0" vertical="center" wrapText="1"/>
    </xf>
    <xf borderId="36" fillId="5" fontId="1" numFmtId="0" xfId="0" applyAlignment="1" applyBorder="1" applyFill="1" applyFont="1">
      <alignment horizontal="center" vertical="center"/>
    </xf>
    <xf borderId="32" fillId="6" fontId="1" numFmtId="0" xfId="0" applyAlignment="1" applyBorder="1" applyFill="1" applyFont="1">
      <alignment horizontal="center" vertical="center"/>
    </xf>
    <xf borderId="14" fillId="8" fontId="1" numFmtId="0" xfId="0" applyAlignment="1" applyBorder="1" applyFill="1" applyFont="1">
      <alignment horizontal="center" vertical="center"/>
    </xf>
    <xf borderId="38" fillId="13" fontId="1" numFmtId="0" xfId="0" applyAlignment="1" applyBorder="1" applyFill="1" applyFont="1">
      <alignment horizontal="center" vertical="center"/>
    </xf>
    <xf borderId="14" fillId="30" fontId="1" numFmtId="0" xfId="0" applyAlignment="1" applyBorder="1" applyFill="1" applyFont="1">
      <alignment horizontal="center" vertical="center"/>
    </xf>
    <xf borderId="37" fillId="3" fontId="1" numFmtId="0" xfId="0" applyAlignment="1" applyBorder="1" applyFill="1" applyFont="1">
      <alignment horizontal="center" vertical="center"/>
    </xf>
    <xf borderId="14" fillId="11" fontId="1" numFmtId="0" xfId="0" applyAlignment="1" applyBorder="1" applyFill="1" applyFont="1">
      <alignment horizontal="center" vertical="center"/>
    </xf>
    <xf borderId="14" fillId="12" fontId="1" numFmtId="0" xfId="0" applyAlignment="1" applyBorder="1" applyFill="1" applyFont="1">
      <alignment horizontal="center" vertical="center"/>
    </xf>
    <xf borderId="36" fillId="5" fontId="1" numFmtId="1" xfId="0" applyAlignment="1" applyBorder="1" applyFill="1" applyFont="1" applyNumberFormat="1">
      <alignment horizontal="center" readingOrder="0" vertical="center"/>
    </xf>
    <xf borderId="32" fillId="6" fontId="1" numFmtId="1" xfId="0" applyAlignment="1" applyBorder="1" applyFill="1" applyFont="1" applyNumberFormat="1">
      <alignment horizontal="center" vertical="center"/>
    </xf>
    <xf borderId="37" fillId="3" fontId="1" numFmtId="1" xfId="0" applyAlignment="1" applyBorder="1" applyFill="1" applyFont="1" applyNumberFormat="1">
      <alignment horizontal="center" readingOrder="0" vertical="center"/>
    </xf>
    <xf borderId="14" fillId="8" fontId="1" numFmtId="1" xfId="0" applyAlignment="1" applyBorder="1" applyFill="1" applyFont="1" applyNumberFormat="1">
      <alignment horizontal="center" vertical="center"/>
    </xf>
    <xf borderId="14" fillId="9" fontId="1" numFmtId="1" xfId="0" applyAlignment="1" applyBorder="1" applyFill="1" applyFont="1" applyNumberFormat="1">
      <alignment horizontal="center" readingOrder="0" vertical="center"/>
    </xf>
    <xf borderId="14" fillId="10" fontId="1" numFmtId="1" xfId="0" applyAlignment="1" applyBorder="1" applyFill="1" applyFont="1" applyNumberFormat="1">
      <alignment horizontal="center" readingOrder="0" vertical="center"/>
    </xf>
    <xf borderId="14" fillId="11" fontId="1" numFmtId="1" xfId="0" applyAlignment="1" applyBorder="1" applyFill="1" applyFont="1" applyNumberFormat="1">
      <alignment horizontal="center" readingOrder="0" vertical="center"/>
    </xf>
    <xf borderId="14" fillId="12" fontId="1" numFmtId="1" xfId="0" applyAlignment="1" applyBorder="1" applyFill="1" applyFont="1" applyNumberFormat="1">
      <alignment horizontal="center" vertical="center"/>
    </xf>
    <xf borderId="38" fillId="13" fontId="1" numFmtId="1" xfId="0" applyAlignment="1" applyBorder="1" applyFill="1" applyFont="1" applyNumberFormat="1">
      <alignment horizontal="center" vertical="center"/>
    </xf>
    <xf borderId="39" fillId="14" fontId="1" numFmtId="1" xfId="0" applyAlignment="1" applyBorder="1" applyFill="1" applyFont="1" applyNumberFormat="1">
      <alignment horizontal="center" vertical="center"/>
    </xf>
    <xf borderId="32" fillId="0" fontId="2" numFmtId="1" xfId="0" applyAlignment="1" applyBorder="1" applyFont="1" applyNumberFormat="1">
      <alignment horizontal="center" vertical="center"/>
    </xf>
    <xf borderId="37" fillId="3" fontId="1" numFmtId="1" xfId="0" applyAlignment="1" applyBorder="1" applyFill="1" applyFont="1" applyNumberFormat="1">
      <alignment horizontal="center" vertical="center"/>
    </xf>
    <xf borderId="14" fillId="9" fontId="1" numFmtId="1" xfId="0" applyAlignment="1" applyBorder="1" applyFill="1" applyFont="1" applyNumberFormat="1">
      <alignment horizontal="center" vertical="center"/>
    </xf>
    <xf borderId="36" fillId="5" fontId="1" numFmtId="1" xfId="0" applyAlignment="1" applyBorder="1" applyFill="1" applyFont="1" applyNumberFormat="1">
      <alignment horizontal="center" vertical="center"/>
    </xf>
    <xf borderId="14" fillId="10" fontId="1" numFmtId="1" xfId="0" applyAlignment="1" applyBorder="1" applyFill="1" applyFont="1" applyNumberFormat="1">
      <alignment horizontal="center" vertical="center"/>
    </xf>
    <xf borderId="14" fillId="8" fontId="1" numFmtId="1" xfId="0" applyAlignment="1" applyBorder="1" applyFill="1" applyFont="1" applyNumberFormat="1">
      <alignment horizontal="center" readingOrder="0" vertical="center"/>
    </xf>
    <xf borderId="38" fillId="13" fontId="1" numFmtId="1" xfId="0" applyAlignment="1" applyBorder="1" applyFill="1" applyFont="1" applyNumberFormat="1">
      <alignment horizontal="center" readingOrder="0" vertical="center"/>
    </xf>
    <xf borderId="14" fillId="12" fontId="1" numFmtId="1" xfId="0" applyAlignment="1" applyBorder="1" applyFill="1" applyFont="1" applyNumberFormat="1">
      <alignment horizontal="center" readingOrder="0" vertical="center"/>
    </xf>
    <xf borderId="14" fillId="11" fontId="1" numFmtId="1" xfId="0" applyAlignment="1" applyBorder="1" applyFill="1" applyFont="1" applyNumberFormat="1">
      <alignment horizontal="center" vertical="center"/>
    </xf>
    <xf borderId="39" fillId="14" fontId="1" numFmtId="1" xfId="0" applyAlignment="1" applyBorder="1" applyFill="1" applyFont="1" applyNumberFormat="1">
      <alignment horizontal="center" readingOrder="0" vertical="center"/>
    </xf>
    <xf borderId="14" fillId="0" fontId="1" numFmtId="166" xfId="0" applyAlignment="1" applyBorder="1" applyFont="1" applyNumberFormat="1">
      <alignment horizontal="left" shrinkToFit="0" vertical="center" wrapText="1"/>
    </xf>
    <xf borderId="44" fillId="0" fontId="2" numFmtId="166" xfId="0" applyAlignment="1" applyBorder="1" applyFont="1" applyNumberFormat="1">
      <alignment horizontal="right" shrinkToFit="0" vertical="center" wrapText="1"/>
    </xf>
    <xf borderId="45" fillId="0" fontId="2" numFmtId="166" xfId="0" applyAlignment="1" applyBorder="1" applyFont="1" applyNumberFormat="1">
      <alignment horizontal="right" shrinkToFit="0" vertical="center" wrapText="1"/>
    </xf>
    <xf borderId="46" fillId="32" fontId="2" numFmtId="1" xfId="0" applyAlignment="1" applyBorder="1" applyFill="1" applyFont="1" applyNumberFormat="1">
      <alignment horizontal="center" vertical="center"/>
    </xf>
    <xf borderId="3" fillId="32" fontId="2" numFmtId="1" xfId="0" applyAlignment="1" applyBorder="1" applyFill="1" applyFont="1" applyNumberFormat="1">
      <alignment horizontal="center" vertical="center"/>
    </xf>
    <xf borderId="47" fillId="32" fontId="2" numFmtId="1" xfId="0" applyAlignment="1" applyBorder="1" applyFill="1" applyFont="1" applyNumberFormat="1">
      <alignment horizontal="center" vertical="center"/>
    </xf>
    <xf borderId="6" fillId="32" fontId="2" numFmtId="1" xfId="0" applyAlignment="1" applyBorder="1" applyFill="1" applyFont="1" applyNumberFormat="1">
      <alignment horizontal="center" vertical="center"/>
    </xf>
    <xf borderId="48" fillId="15" fontId="4" numFmtId="0" xfId="0" applyAlignment="1" applyBorder="1" applyFill="1" applyFont="1">
      <alignment horizontal="center" vertical="center"/>
    </xf>
    <xf borderId="49" fillId="33" fontId="4" numFmtId="164" xfId="0" applyAlignment="1" applyBorder="1" applyFill="1" applyFont="1" applyNumberFormat="1">
      <alignment horizontal="center" vertical="center"/>
    </xf>
    <xf borderId="50" fillId="26" fontId="4" numFmtId="164" xfId="0" applyAlignment="1" applyBorder="1" applyFill="1" applyFont="1" applyNumberFormat="1">
      <alignment horizontal="center" vertical="center"/>
    </xf>
    <xf borderId="49" fillId="26" fontId="1" numFmtId="164" xfId="0" applyAlignment="1" applyBorder="1" applyFill="1" applyFont="1" applyNumberFormat="1">
      <alignment horizontal="center" vertical="center"/>
    </xf>
    <xf borderId="51" fillId="0" fontId="1" numFmtId="166" xfId="0" applyAlignment="1" applyBorder="1" applyFont="1" applyNumberFormat="1">
      <alignment horizontal="center" vertical="center"/>
    </xf>
    <xf borderId="52" fillId="27" fontId="10" numFmtId="0" xfId="0" applyAlignment="1" applyBorder="1" applyFill="1" applyFont="1">
      <alignment horizontal="center" vertical="center"/>
    </xf>
    <xf borderId="53" fillId="27" fontId="10" numFmtId="0" xfId="0" applyAlignment="1" applyBorder="1" applyFill="1" applyFont="1">
      <alignment horizontal="center" vertical="center"/>
    </xf>
    <xf borderId="52" fillId="28" fontId="10" numFmtId="0" xfId="0" applyAlignment="1" applyBorder="1" applyFill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54" fillId="5" fontId="2" numFmtId="1" xfId="0" applyAlignment="1" applyBorder="1" applyFill="1" applyFont="1" applyNumberFormat="1">
      <alignment horizontal="center" vertical="center"/>
    </xf>
    <xf borderId="55" fillId="6" fontId="2" numFmtId="1" xfId="0" applyAlignment="1" applyBorder="1" applyFill="1" applyFont="1" applyNumberFormat="1">
      <alignment horizontal="center" vertical="center"/>
    </xf>
    <xf borderId="56" fillId="3" fontId="2" numFmtId="1" xfId="0" applyAlignment="1" applyBorder="1" applyFill="1" applyFont="1" applyNumberFormat="1">
      <alignment horizontal="center" vertical="center"/>
    </xf>
    <xf borderId="57" fillId="8" fontId="2" numFmtId="1" xfId="0" applyAlignment="1" applyBorder="1" applyFill="1" applyFont="1" applyNumberFormat="1">
      <alignment horizontal="center" vertical="center"/>
    </xf>
    <xf borderId="57" fillId="9" fontId="2" numFmtId="1" xfId="0" applyAlignment="1" applyBorder="1" applyFill="1" applyFont="1" applyNumberFormat="1">
      <alignment horizontal="center" vertical="center"/>
    </xf>
    <xf borderId="57" fillId="10" fontId="2" numFmtId="1" xfId="0" applyAlignment="1" applyBorder="1" applyFill="1" applyFont="1" applyNumberFormat="1">
      <alignment horizontal="center" vertical="center"/>
    </xf>
    <xf borderId="57" fillId="11" fontId="2" numFmtId="1" xfId="0" applyAlignment="1" applyBorder="1" applyFill="1" applyFont="1" applyNumberFormat="1">
      <alignment horizontal="center" vertical="center"/>
    </xf>
    <xf borderId="57" fillId="12" fontId="2" numFmtId="1" xfId="0" applyAlignment="1" applyBorder="1" applyFill="1" applyFont="1" applyNumberFormat="1">
      <alignment horizontal="center" vertical="center"/>
    </xf>
    <xf borderId="58" fillId="13" fontId="2" numFmtId="1" xfId="0" applyAlignment="1" applyBorder="1" applyFill="1" applyFont="1" applyNumberFormat="1">
      <alignment horizontal="center" vertical="center"/>
    </xf>
    <xf borderId="59" fillId="14" fontId="2" numFmtId="1" xfId="0" applyAlignment="1" applyBorder="1" applyFill="1" applyFont="1" applyNumberFormat="1">
      <alignment horizontal="center" vertical="center"/>
    </xf>
    <xf borderId="45" fillId="15" fontId="4" numFmtId="1" xfId="0" applyAlignment="1" applyBorder="1" applyFill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60" fillId="0" fontId="1" numFmtId="164" xfId="0" applyAlignment="1" applyBorder="1" applyFont="1" applyNumberFormat="1">
      <alignment horizontal="center" vertical="center"/>
    </xf>
    <xf borderId="61" fillId="4" fontId="1" numFmtId="164" xfId="0" applyAlignment="1" applyBorder="1" applyFill="1" applyFont="1" applyNumberFormat="1">
      <alignment horizontal="center" vertical="center"/>
    </xf>
    <xf borderId="61" fillId="0" fontId="1" numFmtId="164" xfId="0" applyAlignment="1" applyBorder="1" applyFont="1" applyNumberFormat="1">
      <alignment horizontal="center" vertical="center"/>
    </xf>
    <xf borderId="6" fillId="4" fontId="1" numFmtId="164" xfId="0" applyAlignment="1" applyBorder="1" applyFill="1" applyFont="1" applyNumberFormat="1">
      <alignment horizontal="center" vertical="center"/>
    </xf>
    <xf borderId="62" fillId="33" fontId="4" numFmtId="164" xfId="0" applyAlignment="1" applyBorder="1" applyFill="1" applyFont="1" applyNumberFormat="1">
      <alignment horizontal="center" vertical="center"/>
    </xf>
    <xf borderId="0" fillId="4" fontId="1" numFmtId="0" xfId="0" applyFill="1" applyFont="1"/>
    <xf borderId="63" fillId="4" fontId="1" numFmtId="0" xfId="0" applyBorder="1" applyFill="1" applyFont="1"/>
    <xf borderId="0" fillId="0" fontId="2" numFmtId="164" xfId="0" applyFont="1" applyNumberFormat="1"/>
    <xf borderId="0" fillId="0" fontId="1" numFmtId="164" xfId="0" applyFont="1" applyNumberFormat="1"/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 readingOrder="0" shrinkToFit="0" wrapText="1"/>
    </xf>
    <xf borderId="0" fillId="4" fontId="14" numFmtId="0" xfId="0" applyFill="1" applyFont="1"/>
    <xf borderId="63" fillId="4" fontId="14" numFmtId="0" xfId="0" applyBorder="1" applyFill="1" applyFont="1"/>
    <xf borderId="0" fillId="0" fontId="15" numFmtId="164" xfId="0" applyFont="1" applyNumberFormat="1"/>
    <xf borderId="0" fillId="0" fontId="12" numFmtId="164" xfId="0" applyFont="1" applyNumberFormat="1"/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left" shrinkToFit="0" wrapText="1"/>
    </xf>
    <xf borderId="0" fillId="0" fontId="14" numFmtId="0" xfId="0" applyAlignment="1" applyFont="1">
      <alignment horizontal="left" shrinkToFit="0" wrapText="1"/>
    </xf>
    <xf borderId="0" fillId="0" fontId="14" numFmtId="0" xfId="0" applyAlignment="1" applyFont="1">
      <alignment readingOrder="0"/>
    </xf>
    <xf borderId="63" fillId="4" fontId="14" numFmtId="0" xfId="0" applyAlignment="1" applyBorder="1" applyFill="1" applyFont="1">
      <alignment readingOrder="0"/>
    </xf>
    <xf borderId="0" fillId="0" fontId="12" numFmtId="0" xfId="0" applyFont="1"/>
  </cellXfs>
  <cellStyles count="1">
    <cellStyle xfId="0" name="Normal" builtinId="0"/>
  </cellStyles>
  <dxfs count="2">
    <dxf>
      <font>
        <b/>
        <color rgb="FFFF0000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9.43"/>
    <col customWidth="1" min="2" max="2" width="25.43"/>
    <col customWidth="1" min="3" max="12" width="9.71"/>
    <col customWidth="1" min="13" max="17" width="10.86"/>
    <col customWidth="1" min="18" max="20" width="8.86"/>
    <col customWidth="1" min="21" max="21" width="8.43"/>
    <col customWidth="1" min="22" max="22" width="57.57"/>
    <col customWidth="1" min="23" max="24" width="8.71"/>
  </cols>
  <sheetData>
    <row r="1">
      <c r="A1" s="1"/>
      <c r="B1" s="2" t="s">
        <v>0</v>
      </c>
      <c r="C1" s="3">
        <v>12.0</v>
      </c>
      <c r="D1" s="3">
        <v>12.0</v>
      </c>
      <c r="E1" s="3">
        <v>12.0</v>
      </c>
      <c r="F1" s="3">
        <v>6.0</v>
      </c>
      <c r="G1" s="3">
        <v>24.0</v>
      </c>
      <c r="H1" s="3">
        <v>24.0</v>
      </c>
      <c r="I1" s="3">
        <v>24.0</v>
      </c>
      <c r="J1" s="3">
        <v>12.0</v>
      </c>
      <c r="K1" s="3">
        <v>8.0</v>
      </c>
      <c r="L1" s="4">
        <f t="shared" ref="L1:L2" si="2">SUM(C1:K1)</f>
        <v>134</v>
      </c>
      <c r="M1" s="5" t="s">
        <v>1</v>
      </c>
      <c r="N1" s="6"/>
      <c r="O1" s="6"/>
      <c r="P1" s="6"/>
      <c r="Q1" s="6"/>
      <c r="R1" s="7"/>
      <c r="S1" s="7"/>
      <c r="T1" s="7"/>
      <c r="U1" s="8"/>
      <c r="V1" s="9"/>
      <c r="W1" s="10"/>
      <c r="X1" s="10"/>
    </row>
    <row r="2">
      <c r="A2" s="1"/>
      <c r="B2" s="2" t="s">
        <v>2</v>
      </c>
      <c r="C2" s="3">
        <f t="shared" ref="C2:K2" si="1">C1-C3</f>
        <v>12</v>
      </c>
      <c r="D2" s="3">
        <f t="shared" si="1"/>
        <v>11</v>
      </c>
      <c r="E2" s="3">
        <f t="shared" si="1"/>
        <v>12</v>
      </c>
      <c r="F2" s="3">
        <f t="shared" si="1"/>
        <v>6</v>
      </c>
      <c r="G2" s="3">
        <f t="shared" si="1"/>
        <v>23</v>
      </c>
      <c r="H2" s="3">
        <f t="shared" si="1"/>
        <v>23</v>
      </c>
      <c r="I2" s="3">
        <f t="shared" si="1"/>
        <v>22</v>
      </c>
      <c r="J2" s="3">
        <f t="shared" si="1"/>
        <v>12</v>
      </c>
      <c r="K2" s="3">
        <f t="shared" si="1"/>
        <v>7</v>
      </c>
      <c r="L2" s="4">
        <f t="shared" si="2"/>
        <v>128</v>
      </c>
      <c r="M2" s="5" t="s">
        <v>1</v>
      </c>
      <c r="N2" s="11" t="s">
        <v>3</v>
      </c>
      <c r="O2" s="5" t="s">
        <v>4</v>
      </c>
      <c r="P2" s="5" t="s">
        <v>5</v>
      </c>
      <c r="Q2" s="5" t="s">
        <v>6</v>
      </c>
      <c r="R2" s="7"/>
      <c r="S2" s="7"/>
      <c r="T2" s="7"/>
      <c r="U2" s="8"/>
      <c r="V2" s="9"/>
      <c r="W2" s="10"/>
      <c r="X2" s="10"/>
    </row>
    <row r="3" ht="30.0" customHeight="1">
      <c r="A3" s="12"/>
      <c r="B3" s="13" t="s">
        <v>7</v>
      </c>
      <c r="C3" s="14">
        <f t="shared" ref="C3:L3" si="3">sum(C6:C51)</f>
        <v>0</v>
      </c>
      <c r="D3" s="15">
        <f t="shared" si="3"/>
        <v>1</v>
      </c>
      <c r="E3" s="16">
        <f t="shared" si="3"/>
        <v>0</v>
      </c>
      <c r="F3" s="17">
        <f t="shared" si="3"/>
        <v>0</v>
      </c>
      <c r="G3" s="18">
        <f t="shared" si="3"/>
        <v>1</v>
      </c>
      <c r="H3" s="19">
        <f t="shared" si="3"/>
        <v>1</v>
      </c>
      <c r="I3" s="20">
        <f t="shared" si="3"/>
        <v>2</v>
      </c>
      <c r="J3" s="21">
        <f t="shared" si="3"/>
        <v>0</v>
      </c>
      <c r="K3" s="22">
        <f t="shared" si="3"/>
        <v>1</v>
      </c>
      <c r="L3" s="23">
        <f t="shared" si="3"/>
        <v>0</v>
      </c>
      <c r="M3" s="24">
        <f>SUM(C3:L3)</f>
        <v>6</v>
      </c>
      <c r="N3" s="25">
        <f>L57+L58</f>
        <v>0</v>
      </c>
      <c r="O3" s="26">
        <f>sum(M3:N3)</f>
        <v>6</v>
      </c>
      <c r="P3" s="27"/>
      <c r="Q3" s="28"/>
      <c r="R3" s="28"/>
      <c r="S3" s="28"/>
      <c r="T3" s="28"/>
      <c r="U3" s="28"/>
      <c r="V3" s="29"/>
      <c r="W3" s="28"/>
      <c r="X3" s="28"/>
    </row>
    <row r="4">
      <c r="A4" s="1"/>
      <c r="B4" s="30"/>
      <c r="C4" s="31">
        <v>6.0</v>
      </c>
      <c r="D4" s="32"/>
      <c r="E4" s="32"/>
      <c r="F4" s="32"/>
      <c r="G4" s="32"/>
      <c r="H4" s="32"/>
      <c r="I4" s="32"/>
      <c r="J4" s="32"/>
      <c r="K4" s="33">
        <v>7.0</v>
      </c>
      <c r="L4" s="34">
        <v>6.0</v>
      </c>
      <c r="M4" s="35" t="s">
        <v>8</v>
      </c>
      <c r="N4" s="36"/>
      <c r="O4" s="36"/>
      <c r="P4" s="36"/>
      <c r="Q4" s="36"/>
      <c r="R4" s="37" t="s">
        <v>9</v>
      </c>
      <c r="S4" s="36"/>
      <c r="T4" s="36"/>
      <c r="U4" s="38" t="s">
        <v>10</v>
      </c>
      <c r="V4" s="9"/>
      <c r="W4" s="10"/>
      <c r="X4" s="10"/>
    </row>
    <row r="5" ht="108.0" customHeight="1">
      <c r="A5" s="39" t="s">
        <v>11</v>
      </c>
      <c r="B5" s="40" t="s">
        <v>12</v>
      </c>
      <c r="C5" s="41" t="s">
        <v>13</v>
      </c>
      <c r="D5" s="42" t="s">
        <v>14</v>
      </c>
      <c r="E5" s="43" t="s">
        <v>15</v>
      </c>
      <c r="F5" s="44" t="s">
        <v>16</v>
      </c>
      <c r="G5" s="45" t="s">
        <v>17</v>
      </c>
      <c r="H5" s="46" t="s">
        <v>18</v>
      </c>
      <c r="I5" s="47" t="s">
        <v>19</v>
      </c>
      <c r="J5" s="48" t="s">
        <v>20</v>
      </c>
      <c r="K5" s="49" t="s">
        <v>21</v>
      </c>
      <c r="L5" s="50" t="s">
        <v>22</v>
      </c>
      <c r="M5" s="51" t="s">
        <v>23</v>
      </c>
      <c r="N5" s="52" t="s">
        <v>24</v>
      </c>
      <c r="O5" s="53" t="s">
        <v>25</v>
      </c>
      <c r="P5" s="53" t="s">
        <v>26</v>
      </c>
      <c r="Q5" s="54" t="s">
        <v>27</v>
      </c>
      <c r="R5" s="55" t="s">
        <v>28</v>
      </c>
      <c r="S5" s="56" t="s">
        <v>29</v>
      </c>
      <c r="T5" s="57" t="s">
        <v>30</v>
      </c>
      <c r="U5" s="58" t="s">
        <v>31</v>
      </c>
      <c r="V5" s="59" t="s">
        <v>32</v>
      </c>
      <c r="W5" s="10"/>
      <c r="X5" s="10"/>
    </row>
    <row r="6" ht="34.5" customHeight="1">
      <c r="A6" s="60" t="s">
        <v>33</v>
      </c>
      <c r="B6" s="61" t="s">
        <v>34</v>
      </c>
      <c r="C6" s="62"/>
      <c r="D6" s="63">
        <v>1.0</v>
      </c>
      <c r="E6" s="64"/>
      <c r="F6" s="65"/>
      <c r="G6" s="66">
        <v>1.0</v>
      </c>
      <c r="H6" s="67">
        <v>1.0</v>
      </c>
      <c r="I6" s="68">
        <v>2.0</v>
      </c>
      <c r="J6" s="69"/>
      <c r="K6" s="70">
        <v>1.0</v>
      </c>
      <c r="L6" s="71"/>
      <c r="M6" s="72">
        <f t="shared" ref="M6:M7" si="4">SUM(C6:K6)</f>
        <v>6</v>
      </c>
      <c r="N6" s="73">
        <f t="shared" ref="N6:N51" si="5">6*sum(C6:J6,L6)+7*K6</f>
        <v>37</v>
      </c>
      <c r="O6" s="74">
        <v>37.0</v>
      </c>
      <c r="P6" s="75">
        <f t="shared" ref="P6:P52" si="6">SUM(N6-O6)</f>
        <v>0</v>
      </c>
      <c r="Q6" s="76"/>
      <c r="R6" s="77"/>
      <c r="S6" s="78"/>
      <c r="T6" s="79"/>
      <c r="U6" s="80"/>
      <c r="V6" s="81"/>
      <c r="W6" s="28"/>
      <c r="X6" s="28"/>
    </row>
    <row r="7" ht="34.5" customHeight="1">
      <c r="A7" s="60"/>
      <c r="B7" s="61"/>
      <c r="C7" s="82"/>
      <c r="D7" s="83"/>
      <c r="E7" s="84"/>
      <c r="F7" s="85"/>
      <c r="G7" s="86"/>
      <c r="H7" s="87"/>
      <c r="I7" s="88"/>
      <c r="J7" s="89"/>
      <c r="K7" s="90"/>
      <c r="L7" s="91"/>
      <c r="M7" s="72">
        <f t="shared" si="4"/>
        <v>0</v>
      </c>
      <c r="N7" s="73">
        <f t="shared" si="5"/>
        <v>0</v>
      </c>
      <c r="O7" s="75"/>
      <c r="P7" s="75">
        <f t="shared" si="6"/>
        <v>0</v>
      </c>
      <c r="Q7" s="92"/>
      <c r="R7" s="93"/>
      <c r="S7" s="94"/>
      <c r="T7" s="95"/>
      <c r="U7" s="96"/>
      <c r="V7" s="97"/>
      <c r="W7" s="28"/>
      <c r="X7" s="28"/>
    </row>
    <row r="8" ht="34.5" customHeight="1">
      <c r="A8" s="60"/>
      <c r="B8" s="61"/>
      <c r="C8" s="82"/>
      <c r="D8" s="83"/>
      <c r="E8" s="84"/>
      <c r="F8" s="85"/>
      <c r="G8" s="86"/>
      <c r="H8" s="87"/>
      <c r="I8" s="88"/>
      <c r="J8" s="89"/>
      <c r="K8" s="90"/>
      <c r="L8" s="98"/>
      <c r="M8" s="72">
        <f>SUM(C8:L8)</f>
        <v>0</v>
      </c>
      <c r="N8" s="73">
        <f t="shared" si="5"/>
        <v>0</v>
      </c>
      <c r="O8" s="75"/>
      <c r="P8" s="75">
        <f t="shared" si="6"/>
        <v>0</v>
      </c>
      <c r="Q8" s="92"/>
      <c r="R8" s="93"/>
      <c r="S8" s="94"/>
      <c r="T8" s="99"/>
      <c r="U8" s="96"/>
      <c r="V8" s="97"/>
      <c r="W8" s="28"/>
      <c r="X8" s="28"/>
    </row>
    <row r="9" ht="34.5" customHeight="1">
      <c r="A9" s="60"/>
      <c r="B9" s="61"/>
      <c r="C9" s="82"/>
      <c r="D9" s="83"/>
      <c r="E9" s="84"/>
      <c r="F9" s="85"/>
      <c r="G9" s="86"/>
      <c r="H9" s="87"/>
      <c r="I9" s="88"/>
      <c r="J9" s="89"/>
      <c r="K9" s="90"/>
      <c r="L9" s="91"/>
      <c r="M9" s="72">
        <f t="shared" ref="M9:M31" si="7">SUM(C9:K9)</f>
        <v>0</v>
      </c>
      <c r="N9" s="73">
        <f t="shared" si="5"/>
        <v>0</v>
      </c>
      <c r="O9" s="75"/>
      <c r="P9" s="75">
        <f t="shared" si="6"/>
        <v>0</v>
      </c>
      <c r="Q9" s="92"/>
      <c r="R9" s="93"/>
      <c r="S9" s="94"/>
      <c r="T9" s="95"/>
      <c r="U9" s="96"/>
      <c r="V9" s="97"/>
      <c r="W9" s="28"/>
      <c r="X9" s="28"/>
    </row>
    <row r="10" ht="34.5" customHeight="1">
      <c r="A10" s="60"/>
      <c r="B10" s="61"/>
      <c r="C10" s="82"/>
      <c r="D10" s="83"/>
      <c r="E10" s="84"/>
      <c r="F10" s="85"/>
      <c r="G10" s="86"/>
      <c r="H10" s="87"/>
      <c r="I10" s="88"/>
      <c r="J10" s="89"/>
      <c r="K10" s="90"/>
      <c r="L10" s="91"/>
      <c r="M10" s="72">
        <f t="shared" si="7"/>
        <v>0</v>
      </c>
      <c r="N10" s="73">
        <f t="shared" si="5"/>
        <v>0</v>
      </c>
      <c r="O10" s="75"/>
      <c r="P10" s="75">
        <f t="shared" si="6"/>
        <v>0</v>
      </c>
      <c r="Q10" s="92"/>
      <c r="R10" s="93"/>
      <c r="S10" s="94"/>
      <c r="T10" s="99"/>
      <c r="U10" s="96"/>
      <c r="V10" s="97"/>
      <c r="W10" s="28"/>
      <c r="X10" s="28"/>
    </row>
    <row r="11" ht="34.5" customHeight="1">
      <c r="A11" s="60"/>
      <c r="B11" s="61"/>
      <c r="C11" s="82"/>
      <c r="D11" s="83"/>
      <c r="E11" s="84"/>
      <c r="F11" s="85"/>
      <c r="G11" s="86"/>
      <c r="H11" s="87"/>
      <c r="I11" s="88"/>
      <c r="J11" s="89"/>
      <c r="K11" s="90"/>
      <c r="L11" s="91"/>
      <c r="M11" s="72">
        <f t="shared" si="7"/>
        <v>0</v>
      </c>
      <c r="N11" s="73">
        <f t="shared" si="5"/>
        <v>0</v>
      </c>
      <c r="O11" s="75"/>
      <c r="P11" s="75">
        <f t="shared" si="6"/>
        <v>0</v>
      </c>
      <c r="Q11" s="92"/>
      <c r="R11" s="93"/>
      <c r="S11" s="94"/>
      <c r="T11" s="99"/>
      <c r="U11" s="96"/>
      <c r="V11" s="97"/>
      <c r="W11" s="28"/>
      <c r="X11" s="28"/>
    </row>
    <row r="12" ht="34.5" customHeight="1">
      <c r="A12" s="60"/>
      <c r="B12" s="61"/>
      <c r="C12" s="82"/>
      <c r="D12" s="83"/>
      <c r="E12" s="84"/>
      <c r="F12" s="85"/>
      <c r="G12" s="86"/>
      <c r="H12" s="87"/>
      <c r="I12" s="88"/>
      <c r="J12" s="89"/>
      <c r="K12" s="90"/>
      <c r="L12" s="91"/>
      <c r="M12" s="72">
        <f t="shared" si="7"/>
        <v>0</v>
      </c>
      <c r="N12" s="73">
        <f t="shared" si="5"/>
        <v>0</v>
      </c>
      <c r="O12" s="75"/>
      <c r="P12" s="75">
        <f t="shared" si="6"/>
        <v>0</v>
      </c>
      <c r="Q12" s="92"/>
      <c r="R12" s="93"/>
      <c r="S12" s="94"/>
      <c r="T12" s="99"/>
      <c r="U12" s="96"/>
      <c r="V12" s="97"/>
      <c r="W12" s="28"/>
      <c r="X12" s="28"/>
    </row>
    <row r="13" ht="34.5" customHeight="1">
      <c r="A13" s="60"/>
      <c r="B13" s="61"/>
      <c r="C13" s="82"/>
      <c r="D13" s="83"/>
      <c r="E13" s="84"/>
      <c r="F13" s="85"/>
      <c r="G13" s="86"/>
      <c r="H13" s="87"/>
      <c r="I13" s="88"/>
      <c r="J13" s="89"/>
      <c r="K13" s="90"/>
      <c r="L13" s="91"/>
      <c r="M13" s="72">
        <f t="shared" si="7"/>
        <v>0</v>
      </c>
      <c r="N13" s="73">
        <f t="shared" si="5"/>
        <v>0</v>
      </c>
      <c r="O13" s="75"/>
      <c r="P13" s="75">
        <f t="shared" si="6"/>
        <v>0</v>
      </c>
      <c r="Q13" s="92"/>
      <c r="R13" s="93"/>
      <c r="S13" s="94"/>
      <c r="T13" s="99"/>
      <c r="U13" s="96"/>
      <c r="V13" s="97"/>
      <c r="W13" s="28"/>
      <c r="X13" s="28"/>
    </row>
    <row r="14" ht="34.5" customHeight="1">
      <c r="A14" s="60"/>
      <c r="B14" s="61"/>
      <c r="C14" s="82"/>
      <c r="D14" s="83"/>
      <c r="E14" s="84"/>
      <c r="F14" s="85"/>
      <c r="G14" s="86"/>
      <c r="H14" s="87"/>
      <c r="I14" s="88"/>
      <c r="J14" s="89"/>
      <c r="K14" s="90"/>
      <c r="L14" s="91"/>
      <c r="M14" s="72">
        <f t="shared" si="7"/>
        <v>0</v>
      </c>
      <c r="N14" s="73">
        <f t="shared" si="5"/>
        <v>0</v>
      </c>
      <c r="O14" s="75"/>
      <c r="P14" s="75">
        <f t="shared" si="6"/>
        <v>0</v>
      </c>
      <c r="Q14" s="92"/>
      <c r="R14" s="93"/>
      <c r="S14" s="94"/>
      <c r="T14" s="99"/>
      <c r="U14" s="96"/>
      <c r="V14" s="100"/>
      <c r="W14" s="28"/>
      <c r="X14" s="28"/>
    </row>
    <row r="15" ht="34.5" customHeight="1">
      <c r="A15" s="60"/>
      <c r="B15" s="61"/>
      <c r="C15" s="82"/>
      <c r="D15" s="83"/>
      <c r="E15" s="84"/>
      <c r="F15" s="85"/>
      <c r="G15" s="86"/>
      <c r="H15" s="87"/>
      <c r="I15" s="88"/>
      <c r="J15" s="89"/>
      <c r="K15" s="90"/>
      <c r="L15" s="91"/>
      <c r="M15" s="72">
        <f t="shared" si="7"/>
        <v>0</v>
      </c>
      <c r="N15" s="73">
        <f t="shared" si="5"/>
        <v>0</v>
      </c>
      <c r="O15" s="75"/>
      <c r="P15" s="75">
        <f t="shared" si="6"/>
        <v>0</v>
      </c>
      <c r="Q15" s="92"/>
      <c r="R15" s="93"/>
      <c r="S15" s="94"/>
      <c r="T15" s="99"/>
      <c r="U15" s="96"/>
      <c r="V15" s="97"/>
      <c r="W15" s="28"/>
      <c r="X15" s="28"/>
    </row>
    <row r="16" ht="34.5" customHeight="1">
      <c r="A16" s="60"/>
      <c r="B16" s="61"/>
      <c r="C16" s="82"/>
      <c r="D16" s="83"/>
      <c r="E16" s="84"/>
      <c r="F16" s="85"/>
      <c r="G16" s="86"/>
      <c r="H16" s="87"/>
      <c r="I16" s="88"/>
      <c r="J16" s="89"/>
      <c r="K16" s="90"/>
      <c r="L16" s="91"/>
      <c r="M16" s="72">
        <f t="shared" si="7"/>
        <v>0</v>
      </c>
      <c r="N16" s="73">
        <f t="shared" si="5"/>
        <v>0</v>
      </c>
      <c r="O16" s="75"/>
      <c r="P16" s="75">
        <f t="shared" si="6"/>
        <v>0</v>
      </c>
      <c r="Q16" s="92"/>
      <c r="R16" s="93"/>
      <c r="S16" s="94"/>
      <c r="T16" s="99"/>
      <c r="U16" s="96"/>
      <c r="V16" s="97"/>
      <c r="W16" s="28"/>
      <c r="X16" s="28"/>
    </row>
    <row r="17" ht="34.5" customHeight="1">
      <c r="A17" s="60"/>
      <c r="B17" s="61"/>
      <c r="C17" s="82"/>
      <c r="D17" s="83"/>
      <c r="E17" s="84"/>
      <c r="F17" s="85"/>
      <c r="G17" s="86"/>
      <c r="H17" s="87"/>
      <c r="I17" s="88"/>
      <c r="J17" s="89"/>
      <c r="K17" s="90"/>
      <c r="L17" s="91"/>
      <c r="M17" s="72">
        <f t="shared" si="7"/>
        <v>0</v>
      </c>
      <c r="N17" s="73">
        <f t="shared" si="5"/>
        <v>0</v>
      </c>
      <c r="O17" s="75"/>
      <c r="P17" s="75">
        <f t="shared" si="6"/>
        <v>0</v>
      </c>
      <c r="Q17" s="92"/>
      <c r="R17" s="93"/>
      <c r="S17" s="94"/>
      <c r="T17" s="99"/>
      <c r="U17" s="96"/>
      <c r="V17" s="97"/>
      <c r="W17" s="28"/>
      <c r="X17" s="28"/>
    </row>
    <row r="18" ht="34.5" customHeight="1">
      <c r="A18" s="60"/>
      <c r="B18" s="61"/>
      <c r="C18" s="82"/>
      <c r="D18" s="83"/>
      <c r="E18" s="84"/>
      <c r="F18" s="85"/>
      <c r="G18" s="86"/>
      <c r="H18" s="87"/>
      <c r="I18" s="88"/>
      <c r="J18" s="89"/>
      <c r="K18" s="90"/>
      <c r="L18" s="91"/>
      <c r="M18" s="72">
        <f t="shared" si="7"/>
        <v>0</v>
      </c>
      <c r="N18" s="73">
        <f t="shared" si="5"/>
        <v>0</v>
      </c>
      <c r="O18" s="75"/>
      <c r="P18" s="75">
        <f t="shared" si="6"/>
        <v>0</v>
      </c>
      <c r="Q18" s="92"/>
      <c r="R18" s="93"/>
      <c r="S18" s="94"/>
      <c r="T18" s="99"/>
      <c r="U18" s="96"/>
      <c r="V18" s="97"/>
      <c r="W18" s="28"/>
      <c r="X18" s="28"/>
    </row>
    <row r="19" ht="34.5" customHeight="1">
      <c r="A19" s="60"/>
      <c r="B19" s="61"/>
      <c r="C19" s="82"/>
      <c r="D19" s="83"/>
      <c r="E19" s="84"/>
      <c r="F19" s="85"/>
      <c r="G19" s="86"/>
      <c r="H19" s="87"/>
      <c r="I19" s="88"/>
      <c r="J19" s="89"/>
      <c r="K19" s="90"/>
      <c r="L19" s="91"/>
      <c r="M19" s="72">
        <f t="shared" si="7"/>
        <v>0</v>
      </c>
      <c r="N19" s="73">
        <f t="shared" si="5"/>
        <v>0</v>
      </c>
      <c r="O19" s="75"/>
      <c r="P19" s="75">
        <f t="shared" si="6"/>
        <v>0</v>
      </c>
      <c r="Q19" s="92"/>
      <c r="R19" s="93"/>
      <c r="S19" s="94"/>
      <c r="T19" s="99"/>
      <c r="U19" s="96"/>
      <c r="V19" s="97"/>
      <c r="W19" s="28"/>
      <c r="X19" s="28"/>
    </row>
    <row r="20" ht="34.5" customHeight="1">
      <c r="A20" s="60"/>
      <c r="B20" s="61"/>
      <c r="C20" s="82"/>
      <c r="D20" s="83"/>
      <c r="E20" s="84"/>
      <c r="F20" s="85"/>
      <c r="G20" s="86"/>
      <c r="H20" s="87"/>
      <c r="I20" s="88"/>
      <c r="J20" s="89"/>
      <c r="K20" s="90"/>
      <c r="L20" s="91"/>
      <c r="M20" s="72">
        <f t="shared" si="7"/>
        <v>0</v>
      </c>
      <c r="N20" s="73">
        <f t="shared" si="5"/>
        <v>0</v>
      </c>
      <c r="O20" s="75"/>
      <c r="P20" s="75">
        <f t="shared" si="6"/>
        <v>0</v>
      </c>
      <c r="Q20" s="92"/>
      <c r="R20" s="93"/>
      <c r="S20" s="94"/>
      <c r="T20" s="99"/>
      <c r="U20" s="96"/>
      <c r="V20" s="97"/>
      <c r="W20" s="28"/>
      <c r="X20" s="28"/>
    </row>
    <row r="21" ht="34.5" customHeight="1">
      <c r="A21" s="60"/>
      <c r="B21" s="61"/>
      <c r="C21" s="82"/>
      <c r="D21" s="83"/>
      <c r="E21" s="84"/>
      <c r="F21" s="85"/>
      <c r="G21" s="86"/>
      <c r="H21" s="87"/>
      <c r="I21" s="88"/>
      <c r="J21" s="89"/>
      <c r="K21" s="90"/>
      <c r="L21" s="91"/>
      <c r="M21" s="72">
        <f t="shared" si="7"/>
        <v>0</v>
      </c>
      <c r="N21" s="73">
        <f t="shared" si="5"/>
        <v>0</v>
      </c>
      <c r="O21" s="75"/>
      <c r="P21" s="75">
        <f t="shared" si="6"/>
        <v>0</v>
      </c>
      <c r="Q21" s="92"/>
      <c r="R21" s="101"/>
      <c r="S21" s="94"/>
      <c r="T21" s="99"/>
      <c r="U21" s="96"/>
      <c r="V21" s="97"/>
      <c r="W21" s="28"/>
      <c r="X21" s="28"/>
    </row>
    <row r="22" ht="34.5" customHeight="1">
      <c r="A22" s="60"/>
      <c r="B22" s="102"/>
      <c r="C22" s="103"/>
      <c r="D22" s="104"/>
      <c r="E22" s="84"/>
      <c r="F22" s="105"/>
      <c r="G22" s="86"/>
      <c r="H22" s="87"/>
      <c r="I22" s="88"/>
      <c r="J22" s="89"/>
      <c r="K22" s="106"/>
      <c r="L22" s="91"/>
      <c r="M22" s="72">
        <f t="shared" si="7"/>
        <v>0</v>
      </c>
      <c r="N22" s="73">
        <f t="shared" si="5"/>
        <v>0</v>
      </c>
      <c r="O22" s="74"/>
      <c r="P22" s="75">
        <f t="shared" si="6"/>
        <v>0</v>
      </c>
      <c r="Q22" s="92"/>
      <c r="R22" s="93"/>
      <c r="S22" s="107"/>
      <c r="T22" s="95"/>
      <c r="U22" s="96"/>
      <c r="V22" s="97"/>
      <c r="W22" s="28"/>
      <c r="X22" s="28"/>
    </row>
    <row r="23" ht="34.5" customHeight="1">
      <c r="A23" s="60"/>
      <c r="B23" s="102"/>
      <c r="C23" s="103"/>
      <c r="D23" s="104"/>
      <c r="E23" s="108"/>
      <c r="F23" s="105"/>
      <c r="G23" s="86"/>
      <c r="H23" s="87"/>
      <c r="I23" s="109"/>
      <c r="J23" s="110"/>
      <c r="K23" s="90"/>
      <c r="L23" s="91"/>
      <c r="M23" s="72">
        <f t="shared" si="7"/>
        <v>0</v>
      </c>
      <c r="N23" s="73">
        <f t="shared" si="5"/>
        <v>0</v>
      </c>
      <c r="O23" s="74"/>
      <c r="P23" s="75">
        <f t="shared" si="6"/>
        <v>0</v>
      </c>
      <c r="Q23" s="92"/>
      <c r="R23" s="93"/>
      <c r="S23" s="94"/>
      <c r="T23" s="99"/>
      <c r="U23" s="96"/>
      <c r="V23" s="97"/>
      <c r="W23" s="28"/>
      <c r="X23" s="28"/>
    </row>
    <row r="24" ht="34.5" customHeight="1">
      <c r="A24" s="60"/>
      <c r="B24" s="102"/>
      <c r="C24" s="82"/>
      <c r="D24" s="83"/>
      <c r="E24" s="84"/>
      <c r="F24" s="105"/>
      <c r="G24" s="86"/>
      <c r="H24" s="87"/>
      <c r="I24" s="88"/>
      <c r="J24" s="89"/>
      <c r="K24" s="106"/>
      <c r="L24" s="91"/>
      <c r="M24" s="72">
        <f t="shared" si="7"/>
        <v>0</v>
      </c>
      <c r="N24" s="73">
        <f t="shared" si="5"/>
        <v>0</v>
      </c>
      <c r="O24" s="74"/>
      <c r="P24" s="75">
        <f t="shared" si="6"/>
        <v>0</v>
      </c>
      <c r="Q24" s="92"/>
      <c r="R24" s="93"/>
      <c r="S24" s="94"/>
      <c r="T24" s="99"/>
      <c r="U24" s="96"/>
      <c r="V24" s="97"/>
      <c r="W24" s="28"/>
      <c r="X24" s="28"/>
    </row>
    <row r="25" ht="34.5" customHeight="1">
      <c r="A25" s="60"/>
      <c r="B25" s="102"/>
      <c r="C25" s="111"/>
      <c r="D25" s="112"/>
      <c r="E25" s="113"/>
      <c r="F25" s="114"/>
      <c r="G25" s="115"/>
      <c r="H25" s="116"/>
      <c r="I25" s="117"/>
      <c r="J25" s="118"/>
      <c r="K25" s="119"/>
      <c r="L25" s="120"/>
      <c r="M25" s="121">
        <f t="shared" si="7"/>
        <v>0</v>
      </c>
      <c r="N25" s="73">
        <f t="shared" si="5"/>
        <v>0</v>
      </c>
      <c r="O25" s="74"/>
      <c r="P25" s="75">
        <f t="shared" si="6"/>
        <v>0</v>
      </c>
      <c r="Q25" s="92"/>
      <c r="R25" s="93"/>
      <c r="S25" s="94"/>
      <c r="T25" s="99"/>
      <c r="U25" s="96"/>
      <c r="V25" s="97"/>
      <c r="W25" s="28"/>
      <c r="X25" s="28"/>
    </row>
    <row r="26" ht="34.5" customHeight="1">
      <c r="A26" s="60"/>
      <c r="B26" s="102"/>
      <c r="C26" s="111"/>
      <c r="D26" s="112"/>
      <c r="E26" s="122"/>
      <c r="F26" s="114"/>
      <c r="G26" s="123"/>
      <c r="H26" s="116"/>
      <c r="I26" s="117"/>
      <c r="J26" s="118"/>
      <c r="K26" s="119"/>
      <c r="L26" s="120"/>
      <c r="M26" s="121">
        <f t="shared" si="7"/>
        <v>0</v>
      </c>
      <c r="N26" s="73">
        <f t="shared" si="5"/>
        <v>0</v>
      </c>
      <c r="O26" s="74"/>
      <c r="P26" s="75">
        <f t="shared" si="6"/>
        <v>0</v>
      </c>
      <c r="Q26" s="92"/>
      <c r="R26" s="93"/>
      <c r="S26" s="94"/>
      <c r="T26" s="99"/>
      <c r="U26" s="96"/>
      <c r="V26" s="97"/>
      <c r="W26" s="28"/>
      <c r="X26" s="28"/>
    </row>
    <row r="27" ht="34.5" customHeight="1">
      <c r="A27" s="60"/>
      <c r="B27" s="102"/>
      <c r="C27" s="124"/>
      <c r="D27" s="112"/>
      <c r="E27" s="122"/>
      <c r="F27" s="114"/>
      <c r="G27" s="123"/>
      <c r="H27" s="116"/>
      <c r="I27" s="117"/>
      <c r="J27" s="118"/>
      <c r="K27" s="119"/>
      <c r="L27" s="120"/>
      <c r="M27" s="121">
        <f t="shared" si="7"/>
        <v>0</v>
      </c>
      <c r="N27" s="73">
        <f t="shared" si="5"/>
        <v>0</v>
      </c>
      <c r="O27" s="74"/>
      <c r="P27" s="75">
        <f t="shared" si="6"/>
        <v>0</v>
      </c>
      <c r="Q27" s="92"/>
      <c r="R27" s="93"/>
      <c r="S27" s="94"/>
      <c r="T27" s="99"/>
      <c r="U27" s="96"/>
      <c r="V27" s="97"/>
      <c r="W27" s="28"/>
      <c r="X27" s="28"/>
    </row>
    <row r="28" ht="34.5" customHeight="1">
      <c r="A28" s="60"/>
      <c r="B28" s="102"/>
      <c r="C28" s="124"/>
      <c r="D28" s="112"/>
      <c r="E28" s="122"/>
      <c r="F28" s="114"/>
      <c r="G28" s="123"/>
      <c r="H28" s="125"/>
      <c r="I28" s="117"/>
      <c r="J28" s="118"/>
      <c r="K28" s="119"/>
      <c r="L28" s="120"/>
      <c r="M28" s="121">
        <f t="shared" si="7"/>
        <v>0</v>
      </c>
      <c r="N28" s="73">
        <f t="shared" si="5"/>
        <v>0</v>
      </c>
      <c r="O28" s="74"/>
      <c r="P28" s="75">
        <f t="shared" si="6"/>
        <v>0</v>
      </c>
      <c r="Q28" s="92"/>
      <c r="R28" s="93"/>
      <c r="S28" s="94"/>
      <c r="T28" s="99"/>
      <c r="U28" s="96"/>
      <c r="V28" s="97"/>
      <c r="W28" s="28"/>
      <c r="X28" s="28"/>
    </row>
    <row r="29" ht="34.5" customHeight="1">
      <c r="A29" s="60"/>
      <c r="B29" s="102"/>
      <c r="C29" s="124"/>
      <c r="D29" s="112"/>
      <c r="E29" s="122"/>
      <c r="F29" s="126"/>
      <c r="G29" s="115"/>
      <c r="H29" s="116"/>
      <c r="I29" s="117"/>
      <c r="J29" s="118"/>
      <c r="K29" s="127"/>
      <c r="L29" s="120"/>
      <c r="M29" s="121">
        <f t="shared" si="7"/>
        <v>0</v>
      </c>
      <c r="N29" s="73">
        <f t="shared" si="5"/>
        <v>0</v>
      </c>
      <c r="O29" s="74"/>
      <c r="P29" s="75">
        <f t="shared" si="6"/>
        <v>0</v>
      </c>
      <c r="Q29" s="92"/>
      <c r="R29" s="93"/>
      <c r="S29" s="94"/>
      <c r="T29" s="99"/>
      <c r="U29" s="96"/>
      <c r="V29" s="100"/>
      <c r="W29" s="28"/>
      <c r="X29" s="28"/>
    </row>
    <row r="30" ht="34.5" customHeight="1">
      <c r="A30" s="60"/>
      <c r="B30" s="102"/>
      <c r="C30" s="111"/>
      <c r="D30" s="112"/>
      <c r="E30" s="122"/>
      <c r="F30" s="114"/>
      <c r="G30" s="115"/>
      <c r="H30" s="125"/>
      <c r="I30" s="117"/>
      <c r="J30" s="118"/>
      <c r="K30" s="119"/>
      <c r="L30" s="120"/>
      <c r="M30" s="121">
        <f t="shared" si="7"/>
        <v>0</v>
      </c>
      <c r="N30" s="73">
        <f t="shared" si="5"/>
        <v>0</v>
      </c>
      <c r="O30" s="74"/>
      <c r="P30" s="75">
        <f t="shared" si="6"/>
        <v>0</v>
      </c>
      <c r="Q30" s="92"/>
      <c r="R30" s="93"/>
      <c r="S30" s="94"/>
      <c r="T30" s="99"/>
      <c r="U30" s="96"/>
      <c r="V30" s="97"/>
      <c r="W30" s="28"/>
      <c r="X30" s="28"/>
    </row>
    <row r="31" ht="34.5" customHeight="1">
      <c r="A31" s="60"/>
      <c r="B31" s="102"/>
      <c r="C31" s="111"/>
      <c r="D31" s="112"/>
      <c r="E31" s="113"/>
      <c r="F31" s="126"/>
      <c r="G31" s="115"/>
      <c r="H31" s="125"/>
      <c r="I31" s="117"/>
      <c r="J31" s="128"/>
      <c r="K31" s="119"/>
      <c r="L31" s="120"/>
      <c r="M31" s="121">
        <f t="shared" si="7"/>
        <v>0</v>
      </c>
      <c r="N31" s="73">
        <f t="shared" si="5"/>
        <v>0</v>
      </c>
      <c r="O31" s="74"/>
      <c r="P31" s="75">
        <f t="shared" si="6"/>
        <v>0</v>
      </c>
      <c r="Q31" s="92"/>
      <c r="R31" s="93"/>
      <c r="S31" s="94"/>
      <c r="T31" s="99"/>
      <c r="U31" s="96"/>
      <c r="V31" s="97"/>
      <c r="W31" s="28"/>
      <c r="X31" s="28"/>
    </row>
    <row r="32" ht="34.5" customHeight="1">
      <c r="A32" s="60"/>
      <c r="B32" s="102"/>
      <c r="C32" s="124"/>
      <c r="D32" s="112"/>
      <c r="E32" s="122"/>
      <c r="F32" s="114"/>
      <c r="G32" s="123"/>
      <c r="H32" s="125"/>
      <c r="I32" s="129"/>
      <c r="J32" s="118"/>
      <c r="K32" s="119"/>
      <c r="L32" s="130"/>
      <c r="M32" s="121">
        <f>SUM(C32:L32)</f>
        <v>0</v>
      </c>
      <c r="N32" s="73">
        <f t="shared" si="5"/>
        <v>0</v>
      </c>
      <c r="O32" s="74"/>
      <c r="P32" s="75">
        <f t="shared" si="6"/>
        <v>0</v>
      </c>
      <c r="Q32" s="92"/>
      <c r="R32" s="93"/>
      <c r="S32" s="94"/>
      <c r="T32" s="99"/>
      <c r="U32" s="96"/>
      <c r="V32" s="97"/>
      <c r="W32" s="28"/>
      <c r="X32" s="28"/>
    </row>
    <row r="33" ht="34.5" customHeight="1">
      <c r="A33" s="60"/>
      <c r="B33" s="102"/>
      <c r="C33" s="124"/>
      <c r="D33" s="112"/>
      <c r="E33" s="122"/>
      <c r="F33" s="114"/>
      <c r="G33" s="115"/>
      <c r="H33" s="125"/>
      <c r="I33" s="117"/>
      <c r="J33" s="118"/>
      <c r="K33" s="119"/>
      <c r="L33" s="120"/>
      <c r="M33" s="121">
        <f>SUM(C33:K33)</f>
        <v>0</v>
      </c>
      <c r="N33" s="73">
        <f t="shared" si="5"/>
        <v>0</v>
      </c>
      <c r="O33" s="74"/>
      <c r="P33" s="75">
        <f t="shared" si="6"/>
        <v>0</v>
      </c>
      <c r="Q33" s="92"/>
      <c r="R33" s="93"/>
      <c r="S33" s="94"/>
      <c r="T33" s="99"/>
      <c r="U33" s="96"/>
      <c r="V33" s="97"/>
      <c r="W33" s="28"/>
      <c r="X33" s="28"/>
    </row>
    <row r="34" ht="34.5" customHeight="1">
      <c r="A34" s="60"/>
      <c r="B34" s="102"/>
      <c r="C34" s="124"/>
      <c r="D34" s="112"/>
      <c r="E34" s="113"/>
      <c r="F34" s="114"/>
      <c r="G34" s="123"/>
      <c r="H34" s="125"/>
      <c r="I34" s="129"/>
      <c r="J34" s="118"/>
      <c r="K34" s="119"/>
      <c r="L34" s="130"/>
      <c r="M34" s="121">
        <f t="shared" ref="M34:M35" si="8">SUM(C34:L34)</f>
        <v>0</v>
      </c>
      <c r="N34" s="73">
        <f t="shared" si="5"/>
        <v>0</v>
      </c>
      <c r="O34" s="74"/>
      <c r="P34" s="75">
        <f t="shared" si="6"/>
        <v>0</v>
      </c>
      <c r="Q34" s="92"/>
      <c r="R34" s="93"/>
      <c r="S34" s="107"/>
      <c r="T34" s="95"/>
      <c r="U34" s="96"/>
      <c r="V34" s="97"/>
      <c r="W34" s="28"/>
      <c r="X34" s="28"/>
    </row>
    <row r="35" ht="34.5" customHeight="1">
      <c r="A35" s="60"/>
      <c r="B35" s="102"/>
      <c r="C35" s="124"/>
      <c r="D35" s="112"/>
      <c r="E35" s="122"/>
      <c r="F35" s="114"/>
      <c r="G35" s="123"/>
      <c r="H35" s="125"/>
      <c r="I35" s="129"/>
      <c r="J35" s="118"/>
      <c r="K35" s="119"/>
      <c r="L35" s="130"/>
      <c r="M35" s="121">
        <f t="shared" si="8"/>
        <v>0</v>
      </c>
      <c r="N35" s="73">
        <f t="shared" si="5"/>
        <v>0</v>
      </c>
      <c r="O35" s="74"/>
      <c r="P35" s="75">
        <f t="shared" si="6"/>
        <v>0</v>
      </c>
      <c r="Q35" s="92"/>
      <c r="R35" s="93"/>
      <c r="S35" s="94"/>
      <c r="T35" s="99"/>
      <c r="U35" s="96"/>
      <c r="V35" s="97"/>
      <c r="W35" s="28"/>
      <c r="X35" s="28"/>
    </row>
    <row r="36" ht="34.5" customHeight="1">
      <c r="A36" s="60"/>
      <c r="B36" s="102"/>
      <c r="C36" s="124"/>
      <c r="D36" s="112"/>
      <c r="E36" s="122"/>
      <c r="F36" s="114"/>
      <c r="G36" s="115"/>
      <c r="H36" s="116"/>
      <c r="I36" s="117"/>
      <c r="J36" s="128"/>
      <c r="K36" s="119"/>
      <c r="L36" s="120"/>
      <c r="M36" s="121">
        <f t="shared" ref="M36:M51" si="9">SUM(C36:K36)</f>
        <v>0</v>
      </c>
      <c r="N36" s="73">
        <f t="shared" si="5"/>
        <v>0</v>
      </c>
      <c r="O36" s="74"/>
      <c r="P36" s="75">
        <f t="shared" si="6"/>
        <v>0</v>
      </c>
      <c r="Q36" s="92"/>
      <c r="R36" s="93"/>
      <c r="S36" s="94"/>
      <c r="T36" s="99"/>
      <c r="U36" s="96"/>
      <c r="V36" s="97"/>
      <c r="W36" s="28"/>
      <c r="X36" s="28"/>
    </row>
    <row r="37" ht="34.5" customHeight="1">
      <c r="A37" s="60"/>
      <c r="B37" s="102"/>
      <c r="C37" s="124"/>
      <c r="D37" s="112"/>
      <c r="E37" s="122"/>
      <c r="F37" s="114"/>
      <c r="G37" s="115"/>
      <c r="H37" s="125"/>
      <c r="I37" s="129"/>
      <c r="J37" s="118"/>
      <c r="K37" s="119"/>
      <c r="L37" s="120"/>
      <c r="M37" s="121">
        <f t="shared" si="9"/>
        <v>0</v>
      </c>
      <c r="N37" s="73">
        <f t="shared" si="5"/>
        <v>0</v>
      </c>
      <c r="O37" s="74"/>
      <c r="P37" s="75">
        <f t="shared" si="6"/>
        <v>0</v>
      </c>
      <c r="Q37" s="92"/>
      <c r="R37" s="93"/>
      <c r="S37" s="94"/>
      <c r="T37" s="99"/>
      <c r="U37" s="96"/>
      <c r="V37" s="97"/>
      <c r="W37" s="28"/>
      <c r="X37" s="28"/>
    </row>
    <row r="38" ht="34.5" customHeight="1">
      <c r="A38" s="60"/>
      <c r="B38" s="102"/>
      <c r="C38" s="124"/>
      <c r="D38" s="112"/>
      <c r="E38" s="113"/>
      <c r="F38" s="114"/>
      <c r="G38" s="123"/>
      <c r="H38" s="116"/>
      <c r="I38" s="129"/>
      <c r="J38" s="118"/>
      <c r="K38" s="119"/>
      <c r="L38" s="120"/>
      <c r="M38" s="121">
        <f t="shared" si="9"/>
        <v>0</v>
      </c>
      <c r="N38" s="73">
        <f t="shared" si="5"/>
        <v>0</v>
      </c>
      <c r="O38" s="74"/>
      <c r="P38" s="75">
        <f t="shared" si="6"/>
        <v>0</v>
      </c>
      <c r="Q38" s="92"/>
      <c r="R38" s="93"/>
      <c r="S38" s="107"/>
      <c r="T38" s="95"/>
      <c r="U38" s="96"/>
      <c r="V38" s="97"/>
      <c r="W38" s="28"/>
      <c r="X38" s="28"/>
    </row>
    <row r="39" ht="34.5" customHeight="1">
      <c r="A39" s="60"/>
      <c r="B39" s="102"/>
      <c r="C39" s="124"/>
      <c r="D39" s="112"/>
      <c r="E39" s="122"/>
      <c r="F39" s="114"/>
      <c r="G39" s="123"/>
      <c r="H39" s="116"/>
      <c r="I39" s="117"/>
      <c r="J39" s="118"/>
      <c r="K39" s="119"/>
      <c r="L39" s="120"/>
      <c r="M39" s="121">
        <f t="shared" si="9"/>
        <v>0</v>
      </c>
      <c r="N39" s="73">
        <f t="shared" si="5"/>
        <v>0</v>
      </c>
      <c r="O39" s="74"/>
      <c r="P39" s="75">
        <f t="shared" si="6"/>
        <v>0</v>
      </c>
      <c r="Q39" s="92"/>
      <c r="R39" s="93"/>
      <c r="S39" s="107"/>
      <c r="T39" s="95"/>
      <c r="U39" s="96"/>
      <c r="V39" s="97"/>
      <c r="W39" s="28"/>
      <c r="X39" s="28"/>
    </row>
    <row r="40" ht="34.5" customHeight="1">
      <c r="A40" s="131"/>
      <c r="B40" s="102"/>
      <c r="C40" s="124"/>
      <c r="D40" s="112"/>
      <c r="E40" s="122"/>
      <c r="F40" s="114"/>
      <c r="G40" s="123"/>
      <c r="H40" s="125"/>
      <c r="I40" s="129"/>
      <c r="J40" s="118"/>
      <c r="K40" s="119"/>
      <c r="L40" s="120"/>
      <c r="M40" s="121">
        <f t="shared" si="9"/>
        <v>0</v>
      </c>
      <c r="N40" s="73">
        <f t="shared" si="5"/>
        <v>0</v>
      </c>
      <c r="O40" s="75"/>
      <c r="P40" s="75">
        <f t="shared" si="6"/>
        <v>0</v>
      </c>
      <c r="Q40" s="92"/>
      <c r="R40" s="93"/>
      <c r="S40" s="107"/>
      <c r="T40" s="95"/>
      <c r="U40" s="96"/>
      <c r="V40" s="97"/>
      <c r="W40" s="28"/>
      <c r="X40" s="28"/>
    </row>
    <row r="41" ht="34.5" customHeight="1">
      <c r="A41" s="131"/>
      <c r="B41" s="102"/>
      <c r="C41" s="124"/>
      <c r="D41" s="112"/>
      <c r="E41" s="122"/>
      <c r="F41" s="114"/>
      <c r="G41" s="123"/>
      <c r="H41" s="125"/>
      <c r="I41" s="129"/>
      <c r="J41" s="118"/>
      <c r="K41" s="119"/>
      <c r="L41" s="120"/>
      <c r="M41" s="121">
        <f t="shared" si="9"/>
        <v>0</v>
      </c>
      <c r="N41" s="73">
        <f t="shared" si="5"/>
        <v>0</v>
      </c>
      <c r="O41" s="75"/>
      <c r="P41" s="75">
        <f t="shared" si="6"/>
        <v>0</v>
      </c>
      <c r="Q41" s="92"/>
      <c r="R41" s="93"/>
      <c r="S41" s="107"/>
      <c r="T41" s="95"/>
      <c r="U41" s="96"/>
      <c r="V41" s="97"/>
      <c r="W41" s="28"/>
      <c r="X41" s="28"/>
    </row>
    <row r="42" ht="34.5" customHeight="1">
      <c r="A42" s="131"/>
      <c r="B42" s="102"/>
      <c r="C42" s="124"/>
      <c r="D42" s="112"/>
      <c r="E42" s="122"/>
      <c r="F42" s="114"/>
      <c r="G42" s="123"/>
      <c r="H42" s="125"/>
      <c r="I42" s="129"/>
      <c r="J42" s="118"/>
      <c r="K42" s="119"/>
      <c r="L42" s="120"/>
      <c r="M42" s="121">
        <f t="shared" si="9"/>
        <v>0</v>
      </c>
      <c r="N42" s="73">
        <f t="shared" si="5"/>
        <v>0</v>
      </c>
      <c r="O42" s="75"/>
      <c r="P42" s="75">
        <f t="shared" si="6"/>
        <v>0</v>
      </c>
      <c r="Q42" s="92"/>
      <c r="R42" s="93"/>
      <c r="S42" s="107"/>
      <c r="T42" s="95"/>
      <c r="U42" s="96"/>
      <c r="V42" s="97"/>
      <c r="W42" s="28"/>
      <c r="X42" s="28"/>
    </row>
    <row r="43" ht="34.5" customHeight="1">
      <c r="A43" s="131"/>
      <c r="B43" s="102"/>
      <c r="C43" s="124"/>
      <c r="D43" s="112"/>
      <c r="E43" s="122"/>
      <c r="F43" s="114"/>
      <c r="G43" s="123"/>
      <c r="H43" s="125"/>
      <c r="I43" s="129"/>
      <c r="J43" s="118"/>
      <c r="K43" s="119"/>
      <c r="L43" s="120"/>
      <c r="M43" s="121">
        <f t="shared" si="9"/>
        <v>0</v>
      </c>
      <c r="N43" s="73">
        <f t="shared" si="5"/>
        <v>0</v>
      </c>
      <c r="O43" s="75"/>
      <c r="P43" s="75">
        <f t="shared" si="6"/>
        <v>0</v>
      </c>
      <c r="Q43" s="92"/>
      <c r="R43" s="93"/>
      <c r="S43" s="107"/>
      <c r="T43" s="95"/>
      <c r="U43" s="96"/>
      <c r="V43" s="97"/>
      <c r="W43" s="28"/>
      <c r="X43" s="28"/>
    </row>
    <row r="44" ht="34.5" customHeight="1">
      <c r="A44" s="131"/>
      <c r="B44" s="102"/>
      <c r="C44" s="124"/>
      <c r="D44" s="112"/>
      <c r="E44" s="122"/>
      <c r="F44" s="114"/>
      <c r="G44" s="123"/>
      <c r="H44" s="125"/>
      <c r="I44" s="129"/>
      <c r="J44" s="118"/>
      <c r="K44" s="119"/>
      <c r="L44" s="120"/>
      <c r="M44" s="121">
        <f t="shared" si="9"/>
        <v>0</v>
      </c>
      <c r="N44" s="73">
        <f t="shared" si="5"/>
        <v>0</v>
      </c>
      <c r="O44" s="75"/>
      <c r="P44" s="75">
        <f t="shared" si="6"/>
        <v>0</v>
      </c>
      <c r="Q44" s="92"/>
      <c r="R44" s="93"/>
      <c r="S44" s="107"/>
      <c r="T44" s="95"/>
      <c r="U44" s="96"/>
      <c r="V44" s="97"/>
      <c r="W44" s="28"/>
      <c r="X44" s="28"/>
    </row>
    <row r="45" ht="34.5" customHeight="1">
      <c r="A45" s="131"/>
      <c r="B45" s="102"/>
      <c r="C45" s="124"/>
      <c r="D45" s="112"/>
      <c r="E45" s="122"/>
      <c r="F45" s="114"/>
      <c r="G45" s="123"/>
      <c r="H45" s="125"/>
      <c r="I45" s="129"/>
      <c r="J45" s="118"/>
      <c r="K45" s="119"/>
      <c r="L45" s="120"/>
      <c r="M45" s="121">
        <f t="shared" si="9"/>
        <v>0</v>
      </c>
      <c r="N45" s="73">
        <f t="shared" si="5"/>
        <v>0</v>
      </c>
      <c r="O45" s="75"/>
      <c r="P45" s="75">
        <f t="shared" si="6"/>
        <v>0</v>
      </c>
      <c r="Q45" s="92"/>
      <c r="R45" s="93"/>
      <c r="S45" s="107"/>
      <c r="T45" s="95"/>
      <c r="U45" s="96"/>
      <c r="V45" s="97"/>
      <c r="W45" s="28"/>
      <c r="X45" s="28"/>
    </row>
    <row r="46" ht="34.5" customHeight="1">
      <c r="A46" s="131"/>
      <c r="B46" s="102"/>
      <c r="C46" s="124"/>
      <c r="D46" s="112"/>
      <c r="E46" s="122"/>
      <c r="F46" s="114"/>
      <c r="G46" s="123"/>
      <c r="H46" s="125"/>
      <c r="I46" s="129"/>
      <c r="J46" s="118"/>
      <c r="K46" s="119"/>
      <c r="L46" s="120"/>
      <c r="M46" s="121">
        <f t="shared" si="9"/>
        <v>0</v>
      </c>
      <c r="N46" s="73">
        <f t="shared" si="5"/>
        <v>0</v>
      </c>
      <c r="O46" s="75"/>
      <c r="P46" s="75">
        <f t="shared" si="6"/>
        <v>0</v>
      </c>
      <c r="Q46" s="92"/>
      <c r="R46" s="93"/>
      <c r="S46" s="107"/>
      <c r="T46" s="95"/>
      <c r="U46" s="96"/>
      <c r="V46" s="97"/>
      <c r="W46" s="28"/>
      <c r="X46" s="28"/>
    </row>
    <row r="47" ht="34.5" customHeight="1">
      <c r="A47" s="131"/>
      <c r="B47" s="102"/>
      <c r="C47" s="124"/>
      <c r="D47" s="112"/>
      <c r="E47" s="122"/>
      <c r="F47" s="114"/>
      <c r="G47" s="123"/>
      <c r="H47" s="125"/>
      <c r="I47" s="129"/>
      <c r="J47" s="118"/>
      <c r="K47" s="119"/>
      <c r="L47" s="120"/>
      <c r="M47" s="121">
        <f t="shared" si="9"/>
        <v>0</v>
      </c>
      <c r="N47" s="73">
        <f t="shared" si="5"/>
        <v>0</v>
      </c>
      <c r="O47" s="75"/>
      <c r="P47" s="75">
        <f t="shared" si="6"/>
        <v>0</v>
      </c>
      <c r="Q47" s="92"/>
      <c r="R47" s="93"/>
      <c r="S47" s="107"/>
      <c r="T47" s="95"/>
      <c r="U47" s="96"/>
      <c r="V47" s="97"/>
      <c r="W47" s="28"/>
      <c r="X47" s="28"/>
    </row>
    <row r="48" ht="34.5" customHeight="1">
      <c r="A48" s="131"/>
      <c r="B48" s="102"/>
      <c r="C48" s="124"/>
      <c r="D48" s="112"/>
      <c r="E48" s="122"/>
      <c r="F48" s="114"/>
      <c r="G48" s="123"/>
      <c r="H48" s="125"/>
      <c r="I48" s="129"/>
      <c r="J48" s="118"/>
      <c r="K48" s="119"/>
      <c r="L48" s="120"/>
      <c r="M48" s="121">
        <f t="shared" si="9"/>
        <v>0</v>
      </c>
      <c r="N48" s="73">
        <f t="shared" si="5"/>
        <v>0</v>
      </c>
      <c r="O48" s="75"/>
      <c r="P48" s="75">
        <f t="shared" si="6"/>
        <v>0</v>
      </c>
      <c r="Q48" s="92"/>
      <c r="R48" s="93"/>
      <c r="S48" s="107"/>
      <c r="T48" s="95"/>
      <c r="U48" s="96"/>
      <c r="V48" s="97"/>
      <c r="W48" s="28"/>
      <c r="X48" s="28"/>
    </row>
    <row r="49" ht="34.5" customHeight="1">
      <c r="A49" s="131"/>
      <c r="B49" s="102"/>
      <c r="C49" s="124"/>
      <c r="D49" s="112"/>
      <c r="E49" s="122"/>
      <c r="F49" s="114"/>
      <c r="G49" s="123"/>
      <c r="H49" s="125"/>
      <c r="I49" s="129"/>
      <c r="J49" s="118"/>
      <c r="K49" s="119"/>
      <c r="L49" s="120"/>
      <c r="M49" s="121">
        <f t="shared" si="9"/>
        <v>0</v>
      </c>
      <c r="N49" s="73">
        <f t="shared" si="5"/>
        <v>0</v>
      </c>
      <c r="O49" s="75"/>
      <c r="P49" s="75">
        <f t="shared" si="6"/>
        <v>0</v>
      </c>
      <c r="Q49" s="92"/>
      <c r="R49" s="93"/>
      <c r="S49" s="107"/>
      <c r="T49" s="95"/>
      <c r="U49" s="96"/>
      <c r="V49" s="97"/>
      <c r="W49" s="28"/>
      <c r="X49" s="28"/>
    </row>
    <row r="50" ht="34.5" customHeight="1">
      <c r="A50" s="131"/>
      <c r="B50" s="102"/>
      <c r="C50" s="124"/>
      <c r="D50" s="112"/>
      <c r="E50" s="122"/>
      <c r="F50" s="114"/>
      <c r="G50" s="123"/>
      <c r="H50" s="125"/>
      <c r="I50" s="129"/>
      <c r="J50" s="118"/>
      <c r="K50" s="119"/>
      <c r="L50" s="120"/>
      <c r="M50" s="121">
        <f t="shared" si="9"/>
        <v>0</v>
      </c>
      <c r="N50" s="73">
        <f t="shared" si="5"/>
        <v>0</v>
      </c>
      <c r="O50" s="75"/>
      <c r="P50" s="75">
        <f t="shared" si="6"/>
        <v>0</v>
      </c>
      <c r="Q50" s="92"/>
      <c r="R50" s="93"/>
      <c r="S50" s="107"/>
      <c r="T50" s="95"/>
      <c r="U50" s="96"/>
      <c r="V50" s="97"/>
      <c r="W50" s="28"/>
      <c r="X50" s="28"/>
    </row>
    <row r="51" ht="34.5" customHeight="1">
      <c r="A51" s="131"/>
      <c r="B51" s="102"/>
      <c r="C51" s="124"/>
      <c r="D51" s="112"/>
      <c r="E51" s="122"/>
      <c r="F51" s="114"/>
      <c r="G51" s="123"/>
      <c r="H51" s="125"/>
      <c r="I51" s="129"/>
      <c r="J51" s="118"/>
      <c r="K51" s="119"/>
      <c r="L51" s="120"/>
      <c r="M51" s="121">
        <f t="shared" si="9"/>
        <v>0</v>
      </c>
      <c r="N51" s="73">
        <f t="shared" si="5"/>
        <v>0</v>
      </c>
      <c r="O51" s="75"/>
      <c r="P51" s="75">
        <f t="shared" si="6"/>
        <v>0</v>
      </c>
      <c r="Q51" s="92"/>
      <c r="R51" s="93"/>
      <c r="S51" s="107"/>
      <c r="T51" s="95"/>
      <c r="U51" s="96"/>
      <c r="V51" s="97"/>
      <c r="W51" s="28"/>
      <c r="X51" s="28"/>
    </row>
    <row r="52" ht="34.5" customHeight="1">
      <c r="A52" s="132"/>
      <c r="B52" s="133" t="s">
        <v>35</v>
      </c>
      <c r="C52" s="134"/>
      <c r="D52" s="134"/>
      <c r="E52" s="134"/>
      <c r="F52" s="135"/>
      <c r="G52" s="135"/>
      <c r="H52" s="135"/>
      <c r="I52" s="135"/>
      <c r="J52" s="135"/>
      <c r="K52" s="136"/>
      <c r="L52" s="137"/>
      <c r="M52" s="138">
        <f t="shared" ref="M52:O52" si="10">SUM(M7:M51)</f>
        <v>0</v>
      </c>
      <c r="N52" s="139">
        <f t="shared" si="10"/>
        <v>0</v>
      </c>
      <c r="O52" s="140">
        <f t="shared" si="10"/>
        <v>0</v>
      </c>
      <c r="P52" s="141">
        <f t="shared" si="6"/>
        <v>0</v>
      </c>
      <c r="Q52" s="142">
        <v>0.0</v>
      </c>
      <c r="R52" s="143">
        <f t="shared" ref="R52:U52" si="11">COUNTIF(R7:R51,"Yes")</f>
        <v>0</v>
      </c>
      <c r="S52" s="144">
        <f t="shared" si="11"/>
        <v>0</v>
      </c>
      <c r="T52" s="144">
        <f t="shared" si="11"/>
        <v>0</v>
      </c>
      <c r="U52" s="145">
        <f t="shared" si="11"/>
        <v>0</v>
      </c>
      <c r="V52" s="146"/>
      <c r="W52" s="28"/>
      <c r="X52" s="28"/>
    </row>
    <row r="53" ht="30.0" customHeight="1">
      <c r="A53" s="12"/>
      <c r="B53" s="147"/>
      <c r="C53" s="148">
        <f t="shared" ref="C53:L53" si="12">SUM(C7:C51)</f>
        <v>0</v>
      </c>
      <c r="D53" s="149">
        <f t="shared" si="12"/>
        <v>0</v>
      </c>
      <c r="E53" s="150">
        <f t="shared" si="12"/>
        <v>0</v>
      </c>
      <c r="F53" s="151">
        <f t="shared" si="12"/>
        <v>0</v>
      </c>
      <c r="G53" s="152">
        <f t="shared" si="12"/>
        <v>0</v>
      </c>
      <c r="H53" s="153">
        <f t="shared" si="12"/>
        <v>0</v>
      </c>
      <c r="I53" s="154">
        <f t="shared" si="12"/>
        <v>0</v>
      </c>
      <c r="J53" s="155">
        <f t="shared" si="12"/>
        <v>0</v>
      </c>
      <c r="K53" s="156">
        <f t="shared" si="12"/>
        <v>0</v>
      </c>
      <c r="L53" s="157">
        <f t="shared" si="12"/>
        <v>0</v>
      </c>
      <c r="M53" s="158">
        <f t="shared" ref="M53:M54" si="14">SUM(C53:L53)</f>
        <v>0</v>
      </c>
      <c r="N53" s="159"/>
      <c r="O53" s="160"/>
      <c r="P53" s="160"/>
      <c r="Q53" s="28"/>
      <c r="R53" s="28"/>
      <c r="S53" s="28"/>
      <c r="T53" s="28"/>
      <c r="U53" s="28"/>
      <c r="V53" s="29"/>
      <c r="W53" s="28"/>
      <c r="X53" s="28"/>
    </row>
    <row r="54" ht="30.0" customHeight="1">
      <c r="A54" s="12"/>
      <c r="B54" s="147"/>
      <c r="C54" s="161">
        <f t="shared" ref="C54:J54" si="13">SUM(C53*6)</f>
        <v>0</v>
      </c>
      <c r="D54" s="162">
        <f t="shared" si="13"/>
        <v>0</v>
      </c>
      <c r="E54" s="163">
        <f t="shared" si="13"/>
        <v>0</v>
      </c>
      <c r="F54" s="163">
        <f t="shared" si="13"/>
        <v>0</v>
      </c>
      <c r="G54" s="163">
        <f t="shared" si="13"/>
        <v>0</v>
      </c>
      <c r="H54" s="163">
        <f t="shared" si="13"/>
        <v>0</v>
      </c>
      <c r="I54" s="163">
        <f t="shared" si="13"/>
        <v>0</v>
      </c>
      <c r="J54" s="163">
        <f t="shared" si="13"/>
        <v>0</v>
      </c>
      <c r="K54" s="162">
        <f>SUM(K53*7)</f>
        <v>0</v>
      </c>
      <c r="L54" s="164">
        <f>SUM(L53*6)</f>
        <v>0</v>
      </c>
      <c r="M54" s="165">
        <f t="shared" si="14"/>
        <v>0</v>
      </c>
      <c r="N54" s="159"/>
      <c r="O54" s="160"/>
      <c r="P54" s="160"/>
      <c r="Q54" s="28"/>
      <c r="R54" s="28"/>
      <c r="S54" s="28"/>
      <c r="T54" s="28"/>
      <c r="U54" s="28"/>
      <c r="V54" s="29"/>
      <c r="W54" s="28"/>
      <c r="X54" s="28"/>
    </row>
    <row r="55" ht="15.75" customHeight="1">
      <c r="A55" s="1"/>
      <c r="B55" s="30"/>
      <c r="C55" s="10"/>
      <c r="D55" s="166"/>
      <c r="E55" s="10"/>
      <c r="F55" s="10"/>
      <c r="G55" s="10"/>
      <c r="H55" s="10"/>
      <c r="I55" s="10"/>
      <c r="J55" s="10"/>
      <c r="K55" s="166"/>
      <c r="L55" s="167"/>
      <c r="M55" s="168"/>
      <c r="N55" s="169"/>
      <c r="O55" s="10"/>
      <c r="P55" s="10"/>
      <c r="Q55" s="10"/>
      <c r="R55" s="10"/>
      <c r="S55" s="10"/>
      <c r="T55" s="10"/>
      <c r="U55" s="10"/>
      <c r="V55" s="9"/>
      <c r="W55" s="10"/>
      <c r="X55" s="10"/>
    </row>
    <row r="56" ht="15.75" customHeight="1">
      <c r="A56" s="170"/>
      <c r="B56" s="171" t="s">
        <v>6</v>
      </c>
      <c r="D56" s="172"/>
      <c r="K56" s="172"/>
      <c r="L56" s="173"/>
      <c r="M56" s="174"/>
      <c r="N56" s="175"/>
      <c r="V56" s="176"/>
    </row>
    <row r="57" ht="15.75" customHeight="1">
      <c r="A57" s="177"/>
      <c r="B57" s="178"/>
      <c r="D57" s="172"/>
      <c r="J57" s="179" t="s">
        <v>36</v>
      </c>
      <c r="K57" s="172"/>
      <c r="L57" s="180">
        <v>0.0</v>
      </c>
      <c r="M57" s="174"/>
      <c r="N57" s="175"/>
      <c r="V57" s="176"/>
    </row>
    <row r="58" ht="15.75" customHeight="1">
      <c r="A58" s="170"/>
      <c r="B58" s="178"/>
      <c r="D58" s="172"/>
      <c r="I58" s="181"/>
      <c r="J58" s="179" t="s">
        <v>37</v>
      </c>
      <c r="K58" s="172"/>
      <c r="L58" s="180">
        <v>0.0</v>
      </c>
      <c r="M58" s="174"/>
      <c r="N58" s="175"/>
      <c r="V58" s="176"/>
    </row>
    <row r="59" ht="15.75" customHeight="1">
      <c r="A59" s="170"/>
      <c r="B59" s="178"/>
      <c r="D59" s="172"/>
      <c r="K59" s="172"/>
      <c r="L59" s="173"/>
      <c r="M59" s="174"/>
      <c r="N59" s="175"/>
      <c r="V59" s="176"/>
    </row>
    <row r="60" ht="15.75" customHeight="1">
      <c r="A60" s="170"/>
      <c r="B60" s="178"/>
      <c r="D60" s="172"/>
      <c r="K60" s="172"/>
      <c r="L60" s="173"/>
      <c r="M60" s="174"/>
      <c r="N60" s="175"/>
      <c r="V60" s="176"/>
    </row>
    <row r="61" ht="15.75" customHeight="1">
      <c r="A61" s="170"/>
      <c r="B61" s="178"/>
      <c r="D61" s="172"/>
      <c r="K61" s="172"/>
      <c r="L61" s="173"/>
      <c r="M61" s="174"/>
      <c r="N61" s="175"/>
      <c r="V61" s="176"/>
    </row>
    <row r="62" ht="15.75" customHeight="1">
      <c r="A62" s="170"/>
      <c r="B62" s="178"/>
      <c r="D62" s="172"/>
      <c r="K62" s="172"/>
      <c r="L62" s="173"/>
      <c r="M62" s="174"/>
      <c r="N62" s="175"/>
      <c r="V62" s="176"/>
    </row>
    <row r="63" ht="15.75" customHeight="1">
      <c r="A63" s="170"/>
      <c r="B63" s="178"/>
      <c r="D63" s="172"/>
      <c r="K63" s="172"/>
      <c r="L63" s="173"/>
      <c r="M63" s="174"/>
      <c r="N63" s="175"/>
      <c r="V63" s="176"/>
    </row>
    <row r="64" ht="15.75" customHeight="1">
      <c r="A64" s="170"/>
      <c r="B64" s="178"/>
      <c r="D64" s="172"/>
      <c r="K64" s="172"/>
      <c r="L64" s="173"/>
      <c r="M64" s="174"/>
      <c r="N64" s="175"/>
      <c r="V64" s="176"/>
    </row>
    <row r="65" ht="15.75" customHeight="1">
      <c r="A65" s="170"/>
      <c r="B65" s="178"/>
      <c r="D65" s="172"/>
      <c r="K65" s="172"/>
      <c r="L65" s="173"/>
      <c r="M65" s="174"/>
      <c r="N65" s="175"/>
      <c r="V65" s="176"/>
    </row>
    <row r="66" ht="15.75" customHeight="1">
      <c r="A66" s="170"/>
      <c r="B66" s="178"/>
      <c r="D66" s="172"/>
      <c r="K66" s="172"/>
      <c r="L66" s="173"/>
      <c r="M66" s="174"/>
      <c r="N66" s="175"/>
      <c r="V66" s="176"/>
    </row>
    <row r="67" ht="15.75" customHeight="1">
      <c r="A67" s="170"/>
      <c r="B67" s="178"/>
      <c r="D67" s="172"/>
      <c r="K67" s="172"/>
      <c r="L67" s="173"/>
      <c r="M67" s="174"/>
      <c r="N67" s="175"/>
      <c r="V67" s="176"/>
    </row>
    <row r="68" ht="15.75" customHeight="1">
      <c r="A68" s="170"/>
      <c r="B68" s="178"/>
      <c r="D68" s="172"/>
      <c r="K68" s="172"/>
      <c r="L68" s="173"/>
      <c r="M68" s="174"/>
      <c r="N68" s="175"/>
      <c r="V68" s="176"/>
    </row>
    <row r="69" ht="15.75" customHeight="1">
      <c r="A69" s="170"/>
      <c r="B69" s="178"/>
      <c r="D69" s="172"/>
      <c r="K69" s="172"/>
      <c r="L69" s="173"/>
      <c r="M69" s="174"/>
      <c r="N69" s="175"/>
      <c r="V69" s="176"/>
    </row>
    <row r="70" ht="15.75" customHeight="1">
      <c r="A70" s="170"/>
      <c r="B70" s="178"/>
      <c r="D70" s="172"/>
      <c r="K70" s="172"/>
      <c r="L70" s="173"/>
      <c r="M70" s="174"/>
      <c r="N70" s="175"/>
      <c r="V70" s="176"/>
    </row>
    <row r="71" ht="15.75" customHeight="1">
      <c r="A71" s="170"/>
      <c r="B71" s="178"/>
      <c r="D71" s="172"/>
      <c r="K71" s="172"/>
      <c r="L71" s="173"/>
      <c r="M71" s="174"/>
      <c r="N71" s="175"/>
      <c r="V71" s="176"/>
    </row>
    <row r="72" ht="15.75" customHeight="1">
      <c r="A72" s="170"/>
      <c r="B72" s="178"/>
      <c r="D72" s="172"/>
      <c r="K72" s="172"/>
      <c r="L72" s="173"/>
      <c r="M72" s="174"/>
      <c r="N72" s="175"/>
      <c r="V72" s="176"/>
    </row>
    <row r="73" ht="15.75" customHeight="1">
      <c r="A73" s="170"/>
      <c r="B73" s="178"/>
      <c r="D73" s="172"/>
      <c r="K73" s="172"/>
      <c r="L73" s="173"/>
      <c r="M73" s="174"/>
      <c r="N73" s="175"/>
      <c r="V73" s="176"/>
    </row>
    <row r="74" ht="15.75" customHeight="1">
      <c r="A74" s="170"/>
      <c r="B74" s="178"/>
      <c r="D74" s="172"/>
      <c r="K74" s="172"/>
      <c r="L74" s="173"/>
      <c r="M74" s="174"/>
      <c r="N74" s="175"/>
      <c r="V74" s="176"/>
    </row>
    <row r="75" ht="15.75" customHeight="1">
      <c r="A75" s="170"/>
      <c r="B75" s="178"/>
      <c r="D75" s="172"/>
      <c r="K75" s="172"/>
      <c r="L75" s="173"/>
      <c r="M75" s="174"/>
      <c r="N75" s="175"/>
      <c r="V75" s="176"/>
    </row>
    <row r="76" ht="15.75" customHeight="1">
      <c r="A76" s="170"/>
      <c r="B76" s="178"/>
      <c r="D76" s="172"/>
      <c r="K76" s="172"/>
      <c r="L76" s="173"/>
      <c r="M76" s="174"/>
      <c r="N76" s="175"/>
      <c r="V76" s="176"/>
    </row>
    <row r="77" ht="15.75" customHeight="1">
      <c r="A77" s="170"/>
      <c r="B77" s="178"/>
      <c r="D77" s="172"/>
      <c r="K77" s="172"/>
      <c r="L77" s="173"/>
      <c r="M77" s="174"/>
      <c r="N77" s="175"/>
      <c r="V77" s="176"/>
    </row>
    <row r="78" ht="15.75" customHeight="1">
      <c r="A78" s="170"/>
      <c r="B78" s="178"/>
      <c r="D78" s="172"/>
      <c r="K78" s="172"/>
      <c r="L78" s="173"/>
      <c r="M78" s="174"/>
      <c r="N78" s="175"/>
      <c r="V78" s="176"/>
    </row>
    <row r="79" ht="15.75" customHeight="1">
      <c r="A79" s="170"/>
      <c r="B79" s="178"/>
      <c r="D79" s="172"/>
      <c r="K79" s="172"/>
      <c r="L79" s="173"/>
      <c r="M79" s="174"/>
      <c r="N79" s="175"/>
      <c r="V79" s="176"/>
    </row>
    <row r="80" ht="15.75" customHeight="1">
      <c r="A80" s="170"/>
      <c r="B80" s="178"/>
      <c r="D80" s="172"/>
      <c r="K80" s="172"/>
      <c r="L80" s="173"/>
      <c r="M80" s="174"/>
      <c r="N80" s="175"/>
      <c r="V80" s="176"/>
    </row>
    <row r="81" ht="15.75" customHeight="1">
      <c r="A81" s="170"/>
      <c r="B81" s="178"/>
      <c r="D81" s="172"/>
      <c r="K81" s="172"/>
      <c r="L81" s="173"/>
      <c r="M81" s="174"/>
      <c r="N81" s="175"/>
      <c r="V81" s="176"/>
    </row>
    <row r="82" ht="15.75" customHeight="1">
      <c r="A82" s="170"/>
      <c r="B82" s="178"/>
      <c r="D82" s="172"/>
      <c r="K82" s="172"/>
      <c r="L82" s="173"/>
      <c r="M82" s="174"/>
      <c r="N82" s="175"/>
      <c r="V82" s="176"/>
    </row>
    <row r="83" ht="15.75" customHeight="1">
      <c r="A83" s="170"/>
      <c r="B83" s="178"/>
      <c r="D83" s="172"/>
      <c r="K83" s="172"/>
      <c r="L83" s="173"/>
      <c r="M83" s="174"/>
      <c r="N83" s="175"/>
      <c r="V83" s="176"/>
    </row>
    <row r="84" ht="15.75" customHeight="1">
      <c r="A84" s="170"/>
      <c r="B84" s="178"/>
      <c r="D84" s="172"/>
      <c r="K84" s="172"/>
      <c r="L84" s="173"/>
      <c r="M84" s="174"/>
      <c r="N84" s="175"/>
      <c r="V84" s="176"/>
    </row>
    <row r="85" ht="15.75" customHeight="1">
      <c r="A85" s="170"/>
      <c r="B85" s="178"/>
      <c r="D85" s="172"/>
      <c r="K85" s="172"/>
      <c r="L85" s="173"/>
      <c r="M85" s="174"/>
      <c r="N85" s="175"/>
      <c r="V85" s="176"/>
    </row>
    <row r="86" ht="15.75" customHeight="1">
      <c r="A86" s="170"/>
      <c r="B86" s="178"/>
      <c r="D86" s="172"/>
      <c r="K86" s="172"/>
      <c r="L86" s="173"/>
      <c r="M86" s="174"/>
      <c r="N86" s="175"/>
      <c r="V86" s="176"/>
    </row>
    <row r="87" ht="15.75" customHeight="1">
      <c r="A87" s="170"/>
      <c r="B87" s="178"/>
      <c r="D87" s="172"/>
      <c r="K87" s="172"/>
      <c r="L87" s="173"/>
      <c r="M87" s="174"/>
      <c r="N87" s="175"/>
      <c r="V87" s="176"/>
    </row>
    <row r="88" ht="15.75" customHeight="1">
      <c r="A88" s="170"/>
      <c r="B88" s="178"/>
      <c r="D88" s="172"/>
      <c r="K88" s="172"/>
      <c r="L88" s="173"/>
      <c r="M88" s="174"/>
      <c r="N88" s="175"/>
      <c r="V88" s="176"/>
    </row>
    <row r="89" ht="15.75" customHeight="1">
      <c r="A89" s="170"/>
      <c r="B89" s="178"/>
      <c r="D89" s="172"/>
      <c r="K89" s="172"/>
      <c r="L89" s="173"/>
      <c r="M89" s="174"/>
      <c r="N89" s="175"/>
      <c r="V89" s="176"/>
    </row>
    <row r="90" ht="15.75" customHeight="1">
      <c r="A90" s="170"/>
      <c r="B90" s="178"/>
      <c r="D90" s="172"/>
      <c r="K90" s="172"/>
      <c r="L90" s="173"/>
      <c r="M90" s="174"/>
      <c r="N90" s="175"/>
      <c r="V90" s="176"/>
    </row>
    <row r="91" ht="15.75" customHeight="1">
      <c r="A91" s="170"/>
      <c r="B91" s="178"/>
      <c r="D91" s="172"/>
      <c r="K91" s="172"/>
      <c r="L91" s="173"/>
      <c r="M91" s="174"/>
      <c r="N91" s="175"/>
      <c r="V91" s="176"/>
    </row>
    <row r="92" ht="15.75" customHeight="1">
      <c r="A92" s="170"/>
      <c r="B92" s="178"/>
      <c r="D92" s="172"/>
      <c r="K92" s="172"/>
      <c r="L92" s="173"/>
      <c r="M92" s="174"/>
      <c r="N92" s="175"/>
      <c r="V92" s="176"/>
    </row>
    <row r="93" ht="15.75" customHeight="1">
      <c r="A93" s="170"/>
      <c r="B93" s="178"/>
      <c r="D93" s="172"/>
      <c r="K93" s="172"/>
      <c r="L93" s="173"/>
      <c r="M93" s="174"/>
      <c r="N93" s="175"/>
      <c r="V93" s="176"/>
    </row>
    <row r="94" ht="15.75" customHeight="1">
      <c r="A94" s="170"/>
      <c r="B94" s="178"/>
      <c r="D94" s="172"/>
      <c r="K94" s="172"/>
      <c r="L94" s="173"/>
      <c r="M94" s="174"/>
      <c r="N94" s="175"/>
      <c r="V94" s="176"/>
    </row>
    <row r="95" ht="15.75" customHeight="1">
      <c r="A95" s="170"/>
      <c r="B95" s="178"/>
      <c r="D95" s="172"/>
      <c r="K95" s="172"/>
      <c r="L95" s="173"/>
      <c r="M95" s="174"/>
      <c r="N95" s="175"/>
      <c r="V95" s="176"/>
    </row>
    <row r="96" ht="15.75" customHeight="1">
      <c r="A96" s="170"/>
      <c r="B96" s="178"/>
      <c r="D96" s="172"/>
      <c r="K96" s="172"/>
      <c r="L96" s="173"/>
      <c r="M96" s="174"/>
      <c r="N96" s="175"/>
      <c r="V96" s="176"/>
    </row>
    <row r="97" ht="15.75" customHeight="1">
      <c r="A97" s="170"/>
      <c r="B97" s="178"/>
      <c r="D97" s="172"/>
      <c r="K97" s="172"/>
      <c r="L97" s="173"/>
      <c r="M97" s="174"/>
      <c r="N97" s="175"/>
      <c r="V97" s="176"/>
    </row>
    <row r="98" ht="15.75" customHeight="1">
      <c r="A98" s="170"/>
      <c r="B98" s="178"/>
      <c r="D98" s="172"/>
      <c r="K98" s="172"/>
      <c r="L98" s="173"/>
      <c r="M98" s="174"/>
      <c r="N98" s="175"/>
      <c r="V98" s="176"/>
    </row>
    <row r="99" ht="15.75" customHeight="1">
      <c r="A99" s="170"/>
      <c r="B99" s="178"/>
      <c r="D99" s="172"/>
      <c r="K99" s="172"/>
      <c r="L99" s="173"/>
      <c r="M99" s="174"/>
      <c r="N99" s="175"/>
      <c r="V99" s="176"/>
    </row>
    <row r="100" ht="15.75" customHeight="1">
      <c r="A100" s="170"/>
      <c r="B100" s="178"/>
      <c r="D100" s="172"/>
      <c r="K100" s="172"/>
      <c r="L100" s="173"/>
      <c r="M100" s="174"/>
      <c r="N100" s="175"/>
      <c r="V100" s="176"/>
    </row>
    <row r="101" ht="15.75" customHeight="1">
      <c r="A101" s="170"/>
      <c r="B101" s="178"/>
      <c r="D101" s="172"/>
      <c r="K101" s="172"/>
      <c r="L101" s="173"/>
      <c r="M101" s="174"/>
      <c r="N101" s="175"/>
      <c r="V101" s="176"/>
    </row>
    <row r="102" ht="15.75" customHeight="1">
      <c r="A102" s="170"/>
      <c r="B102" s="178"/>
      <c r="D102" s="172"/>
      <c r="K102" s="172"/>
      <c r="L102" s="173"/>
      <c r="M102" s="174"/>
      <c r="N102" s="175"/>
      <c r="V102" s="176"/>
    </row>
    <row r="103" ht="15.75" customHeight="1">
      <c r="A103" s="170"/>
      <c r="B103" s="178"/>
      <c r="D103" s="172"/>
      <c r="K103" s="172"/>
      <c r="L103" s="173"/>
      <c r="M103" s="174"/>
      <c r="N103" s="175"/>
      <c r="V103" s="176"/>
    </row>
    <row r="104" ht="15.75" customHeight="1">
      <c r="A104" s="170"/>
      <c r="B104" s="178"/>
      <c r="D104" s="172"/>
      <c r="K104" s="172"/>
      <c r="L104" s="173"/>
      <c r="M104" s="174"/>
      <c r="N104" s="175"/>
      <c r="V104" s="176"/>
    </row>
    <row r="105" ht="15.75" customHeight="1">
      <c r="A105" s="170"/>
      <c r="B105" s="178"/>
      <c r="D105" s="172"/>
      <c r="K105" s="172"/>
      <c r="L105" s="173"/>
      <c r="M105" s="174"/>
      <c r="N105" s="175"/>
      <c r="V105" s="176"/>
    </row>
    <row r="106" ht="15.75" customHeight="1">
      <c r="A106" s="170"/>
      <c r="B106" s="178"/>
      <c r="D106" s="172"/>
      <c r="K106" s="172"/>
      <c r="L106" s="173"/>
      <c r="M106" s="174"/>
      <c r="N106" s="175"/>
      <c r="V106" s="176"/>
    </row>
    <row r="107" ht="15.75" customHeight="1">
      <c r="A107" s="170"/>
      <c r="B107" s="178"/>
      <c r="D107" s="172"/>
      <c r="K107" s="172"/>
      <c r="L107" s="173"/>
      <c r="M107" s="174"/>
      <c r="N107" s="175"/>
      <c r="V107" s="176"/>
    </row>
    <row r="108" ht="15.75" customHeight="1">
      <c r="A108" s="170"/>
      <c r="B108" s="178"/>
      <c r="D108" s="172"/>
      <c r="K108" s="172"/>
      <c r="L108" s="173"/>
      <c r="M108" s="174"/>
      <c r="N108" s="175"/>
      <c r="V108" s="176"/>
    </row>
    <row r="109" ht="15.75" customHeight="1">
      <c r="A109" s="170"/>
      <c r="B109" s="178"/>
      <c r="D109" s="172"/>
      <c r="K109" s="172"/>
      <c r="L109" s="173"/>
      <c r="M109" s="174"/>
      <c r="N109" s="175"/>
      <c r="V109" s="176"/>
    </row>
    <row r="110" ht="15.75" customHeight="1">
      <c r="A110" s="170"/>
      <c r="B110" s="178"/>
      <c r="D110" s="172"/>
      <c r="K110" s="172"/>
      <c r="L110" s="173"/>
      <c r="M110" s="174"/>
      <c r="N110" s="175"/>
      <c r="V110" s="176"/>
    </row>
    <row r="111" ht="15.75" customHeight="1">
      <c r="A111" s="170"/>
      <c r="B111" s="178"/>
      <c r="D111" s="172"/>
      <c r="K111" s="172"/>
      <c r="L111" s="173"/>
      <c r="M111" s="174"/>
      <c r="N111" s="175"/>
      <c r="V111" s="176"/>
    </row>
    <row r="112" ht="15.75" customHeight="1">
      <c r="A112" s="170"/>
      <c r="B112" s="178"/>
      <c r="D112" s="172"/>
      <c r="K112" s="172"/>
      <c r="L112" s="173"/>
      <c r="M112" s="174"/>
      <c r="N112" s="175"/>
      <c r="V112" s="176"/>
    </row>
    <row r="113" ht="15.75" customHeight="1">
      <c r="A113" s="170"/>
      <c r="B113" s="178"/>
      <c r="D113" s="172"/>
      <c r="K113" s="172"/>
      <c r="L113" s="173"/>
      <c r="M113" s="174"/>
      <c r="N113" s="175"/>
      <c r="V113" s="176"/>
    </row>
    <row r="114" ht="15.75" customHeight="1">
      <c r="A114" s="170"/>
      <c r="B114" s="178"/>
      <c r="D114" s="172"/>
      <c r="K114" s="172"/>
      <c r="L114" s="173"/>
      <c r="M114" s="174"/>
      <c r="N114" s="175"/>
      <c r="V114" s="176"/>
    </row>
    <row r="115" ht="15.75" customHeight="1">
      <c r="A115" s="170"/>
      <c r="B115" s="178"/>
      <c r="D115" s="172"/>
      <c r="K115" s="172"/>
      <c r="L115" s="173"/>
      <c r="M115" s="174"/>
      <c r="N115" s="175"/>
      <c r="V115" s="176"/>
    </row>
    <row r="116" ht="15.75" customHeight="1">
      <c r="A116" s="170"/>
      <c r="B116" s="178"/>
      <c r="D116" s="172"/>
      <c r="K116" s="172"/>
      <c r="L116" s="173"/>
      <c r="M116" s="174"/>
      <c r="N116" s="175"/>
      <c r="V116" s="176"/>
    </row>
    <row r="117" ht="15.75" customHeight="1">
      <c r="A117" s="170"/>
      <c r="B117" s="178"/>
      <c r="D117" s="172"/>
      <c r="K117" s="172"/>
      <c r="L117" s="173"/>
      <c r="M117" s="174"/>
      <c r="N117" s="175"/>
      <c r="V117" s="176"/>
    </row>
    <row r="118" ht="15.75" customHeight="1">
      <c r="A118" s="170"/>
      <c r="B118" s="178"/>
      <c r="D118" s="172"/>
      <c r="K118" s="172"/>
      <c r="L118" s="173"/>
      <c r="M118" s="174"/>
      <c r="N118" s="175"/>
      <c r="V118" s="176"/>
    </row>
    <row r="119" ht="15.75" customHeight="1">
      <c r="A119" s="170"/>
      <c r="B119" s="178"/>
      <c r="D119" s="172"/>
      <c r="K119" s="172"/>
      <c r="L119" s="173"/>
      <c r="M119" s="174"/>
      <c r="N119" s="175"/>
      <c r="V119" s="176"/>
    </row>
    <row r="120" ht="15.75" customHeight="1">
      <c r="A120" s="170"/>
      <c r="B120" s="178"/>
      <c r="D120" s="172"/>
      <c r="K120" s="172"/>
      <c r="L120" s="173"/>
      <c r="M120" s="174"/>
      <c r="N120" s="175"/>
      <c r="V120" s="176"/>
    </row>
    <row r="121" ht="15.75" customHeight="1">
      <c r="A121" s="170"/>
      <c r="B121" s="178"/>
      <c r="D121" s="172"/>
      <c r="K121" s="172"/>
      <c r="L121" s="173"/>
      <c r="M121" s="174"/>
      <c r="N121" s="175"/>
      <c r="V121" s="176"/>
    </row>
    <row r="122" ht="15.75" customHeight="1">
      <c r="A122" s="170"/>
      <c r="B122" s="178"/>
      <c r="D122" s="172"/>
      <c r="K122" s="172"/>
      <c r="L122" s="173"/>
      <c r="M122" s="174"/>
      <c r="N122" s="175"/>
      <c r="V122" s="176"/>
    </row>
    <row r="123" ht="15.75" customHeight="1">
      <c r="A123" s="170"/>
      <c r="B123" s="178"/>
      <c r="D123" s="172"/>
      <c r="K123" s="172"/>
      <c r="L123" s="173"/>
      <c r="M123" s="174"/>
      <c r="N123" s="175"/>
      <c r="V123" s="176"/>
    </row>
    <row r="124" ht="15.75" customHeight="1">
      <c r="A124" s="170"/>
      <c r="B124" s="178"/>
      <c r="D124" s="172"/>
      <c r="K124" s="172"/>
      <c r="L124" s="173"/>
      <c r="M124" s="174"/>
      <c r="N124" s="175"/>
      <c r="V124" s="176"/>
    </row>
    <row r="125" ht="15.75" customHeight="1">
      <c r="A125" s="170"/>
      <c r="B125" s="178"/>
      <c r="D125" s="172"/>
      <c r="K125" s="172"/>
      <c r="L125" s="173"/>
      <c r="M125" s="174"/>
      <c r="N125" s="175"/>
      <c r="V125" s="176"/>
    </row>
    <row r="126" ht="15.75" customHeight="1">
      <c r="A126" s="170"/>
      <c r="B126" s="178"/>
      <c r="D126" s="172"/>
      <c r="K126" s="172"/>
      <c r="L126" s="173"/>
      <c r="M126" s="174"/>
      <c r="N126" s="175"/>
      <c r="V126" s="176"/>
    </row>
    <row r="127" ht="15.75" customHeight="1">
      <c r="A127" s="170"/>
      <c r="B127" s="178"/>
      <c r="D127" s="172"/>
      <c r="K127" s="172"/>
      <c r="L127" s="173"/>
      <c r="M127" s="174"/>
      <c r="N127" s="175"/>
      <c r="V127" s="176"/>
    </row>
    <row r="128" ht="15.75" customHeight="1">
      <c r="A128" s="170"/>
      <c r="B128" s="178"/>
      <c r="D128" s="172"/>
      <c r="K128" s="172"/>
      <c r="L128" s="173"/>
      <c r="M128" s="174"/>
      <c r="N128" s="175"/>
      <c r="V128" s="176"/>
    </row>
    <row r="129" ht="15.75" customHeight="1">
      <c r="A129" s="170"/>
      <c r="B129" s="178"/>
      <c r="D129" s="172"/>
      <c r="K129" s="172"/>
      <c r="L129" s="173"/>
      <c r="M129" s="174"/>
      <c r="N129" s="175"/>
      <c r="V129" s="176"/>
    </row>
    <row r="130" ht="15.75" customHeight="1">
      <c r="A130" s="170"/>
      <c r="B130" s="178"/>
      <c r="D130" s="172"/>
      <c r="K130" s="172"/>
      <c r="L130" s="173"/>
      <c r="M130" s="174"/>
      <c r="N130" s="175"/>
      <c r="V130" s="176"/>
    </row>
    <row r="131" ht="15.75" customHeight="1">
      <c r="A131" s="170"/>
      <c r="B131" s="178"/>
      <c r="D131" s="172"/>
      <c r="K131" s="172"/>
      <c r="L131" s="173"/>
      <c r="M131" s="174"/>
      <c r="N131" s="175"/>
      <c r="V131" s="176"/>
    </row>
    <row r="132" ht="15.75" customHeight="1">
      <c r="A132" s="170"/>
      <c r="B132" s="178"/>
      <c r="D132" s="172"/>
      <c r="K132" s="172"/>
      <c r="L132" s="173"/>
      <c r="M132" s="174"/>
      <c r="N132" s="175"/>
      <c r="V132" s="176"/>
    </row>
    <row r="133" ht="15.75" customHeight="1">
      <c r="A133" s="170"/>
      <c r="B133" s="178"/>
      <c r="D133" s="172"/>
      <c r="K133" s="172"/>
      <c r="L133" s="173"/>
      <c r="M133" s="174"/>
      <c r="N133" s="175"/>
      <c r="V133" s="176"/>
    </row>
    <row r="134" ht="15.75" customHeight="1">
      <c r="A134" s="170"/>
      <c r="B134" s="178"/>
      <c r="D134" s="172"/>
      <c r="K134" s="172"/>
      <c r="L134" s="173"/>
      <c r="M134" s="174"/>
      <c r="N134" s="175"/>
      <c r="V134" s="176"/>
    </row>
    <row r="135" ht="15.75" customHeight="1">
      <c r="A135" s="170"/>
      <c r="B135" s="178"/>
      <c r="D135" s="172"/>
      <c r="K135" s="172"/>
      <c r="L135" s="173"/>
      <c r="M135" s="174"/>
      <c r="N135" s="175"/>
      <c r="V135" s="176"/>
    </row>
    <row r="136" ht="15.75" customHeight="1">
      <c r="A136" s="170"/>
      <c r="B136" s="178"/>
      <c r="D136" s="172"/>
      <c r="K136" s="172"/>
      <c r="L136" s="173"/>
      <c r="M136" s="174"/>
      <c r="N136" s="175"/>
      <c r="V136" s="176"/>
    </row>
    <row r="137" ht="15.75" customHeight="1">
      <c r="A137" s="170"/>
      <c r="B137" s="178"/>
      <c r="D137" s="172"/>
      <c r="K137" s="172"/>
      <c r="L137" s="173"/>
      <c r="M137" s="174"/>
      <c r="N137" s="175"/>
      <c r="V137" s="176"/>
    </row>
    <row r="138" ht="15.75" customHeight="1">
      <c r="A138" s="170"/>
      <c r="B138" s="178"/>
      <c r="D138" s="172"/>
      <c r="K138" s="172"/>
      <c r="L138" s="173"/>
      <c r="M138" s="174"/>
      <c r="N138" s="175"/>
      <c r="V138" s="176"/>
    </row>
    <row r="139" ht="15.75" customHeight="1">
      <c r="A139" s="170"/>
      <c r="B139" s="178"/>
      <c r="D139" s="172"/>
      <c r="K139" s="172"/>
      <c r="L139" s="173"/>
      <c r="M139" s="174"/>
      <c r="N139" s="175"/>
      <c r="V139" s="176"/>
    </row>
    <row r="140" ht="15.75" customHeight="1">
      <c r="A140" s="170"/>
      <c r="B140" s="178"/>
      <c r="D140" s="172"/>
      <c r="K140" s="172"/>
      <c r="L140" s="173"/>
      <c r="M140" s="174"/>
      <c r="N140" s="175"/>
      <c r="V140" s="176"/>
    </row>
    <row r="141" ht="15.75" customHeight="1">
      <c r="A141" s="170"/>
      <c r="B141" s="178"/>
      <c r="D141" s="172"/>
      <c r="K141" s="172"/>
      <c r="L141" s="173"/>
      <c r="M141" s="174"/>
      <c r="N141" s="175"/>
      <c r="V141" s="176"/>
    </row>
    <row r="142" ht="15.75" customHeight="1">
      <c r="A142" s="170"/>
      <c r="B142" s="178"/>
      <c r="D142" s="172"/>
      <c r="K142" s="172"/>
      <c r="L142" s="173"/>
      <c r="M142" s="174"/>
      <c r="N142" s="175"/>
      <c r="V142" s="176"/>
    </row>
    <row r="143" ht="15.75" customHeight="1">
      <c r="A143" s="170"/>
      <c r="B143" s="178"/>
      <c r="D143" s="172"/>
      <c r="K143" s="172"/>
      <c r="L143" s="173"/>
      <c r="M143" s="174"/>
      <c r="N143" s="175"/>
      <c r="V143" s="176"/>
    </row>
    <row r="144" ht="15.75" customHeight="1">
      <c r="A144" s="170"/>
      <c r="B144" s="178"/>
      <c r="D144" s="172"/>
      <c r="K144" s="172"/>
      <c r="L144" s="173"/>
      <c r="M144" s="174"/>
      <c r="N144" s="175"/>
      <c r="V144" s="176"/>
    </row>
    <row r="145" ht="15.75" customHeight="1">
      <c r="A145" s="170"/>
      <c r="B145" s="178"/>
      <c r="D145" s="172"/>
      <c r="K145" s="172"/>
      <c r="L145" s="173"/>
      <c r="M145" s="174"/>
      <c r="N145" s="175"/>
      <c r="V145" s="176"/>
    </row>
    <row r="146" ht="15.75" customHeight="1">
      <c r="A146" s="170"/>
      <c r="B146" s="178"/>
      <c r="D146" s="172"/>
      <c r="K146" s="172"/>
      <c r="L146" s="173"/>
      <c r="M146" s="174"/>
      <c r="N146" s="175"/>
      <c r="V146" s="176"/>
    </row>
    <row r="147" ht="15.75" customHeight="1">
      <c r="A147" s="170"/>
      <c r="B147" s="178"/>
      <c r="D147" s="172"/>
      <c r="K147" s="172"/>
      <c r="L147" s="173"/>
      <c r="M147" s="174"/>
      <c r="N147" s="175"/>
      <c r="V147" s="176"/>
    </row>
    <row r="148" ht="15.75" customHeight="1">
      <c r="A148" s="170"/>
      <c r="B148" s="178"/>
      <c r="D148" s="172"/>
      <c r="K148" s="172"/>
      <c r="L148" s="173"/>
      <c r="M148" s="174"/>
      <c r="N148" s="175"/>
      <c r="V148" s="176"/>
    </row>
    <row r="149" ht="15.75" customHeight="1">
      <c r="A149" s="170"/>
      <c r="B149" s="178"/>
      <c r="D149" s="172"/>
      <c r="K149" s="172"/>
      <c r="L149" s="173"/>
      <c r="M149" s="174"/>
      <c r="N149" s="175"/>
      <c r="V149" s="176"/>
    </row>
    <row r="150" ht="15.75" customHeight="1">
      <c r="A150" s="170"/>
      <c r="B150" s="178"/>
      <c r="D150" s="172"/>
      <c r="K150" s="172"/>
      <c r="L150" s="173"/>
      <c r="M150" s="174"/>
      <c r="N150" s="175"/>
      <c r="V150" s="176"/>
    </row>
    <row r="151" ht="15.75" customHeight="1">
      <c r="A151" s="170"/>
      <c r="B151" s="178"/>
      <c r="D151" s="172"/>
      <c r="K151" s="172"/>
      <c r="L151" s="173"/>
      <c r="M151" s="174"/>
      <c r="N151" s="175"/>
      <c r="V151" s="176"/>
    </row>
    <row r="152" ht="15.75" customHeight="1">
      <c r="A152" s="170"/>
      <c r="B152" s="178"/>
      <c r="D152" s="172"/>
      <c r="K152" s="172"/>
      <c r="L152" s="173"/>
      <c r="M152" s="174"/>
      <c r="N152" s="175"/>
      <c r="V152" s="176"/>
    </row>
    <row r="153" ht="15.75" customHeight="1">
      <c r="A153" s="170"/>
      <c r="B153" s="178"/>
      <c r="D153" s="172"/>
      <c r="K153" s="172"/>
      <c r="L153" s="173"/>
      <c r="M153" s="174"/>
      <c r="N153" s="175"/>
      <c r="V153" s="176"/>
    </row>
    <row r="154" ht="15.75" customHeight="1">
      <c r="A154" s="170"/>
      <c r="B154" s="178"/>
      <c r="D154" s="172"/>
      <c r="K154" s="172"/>
      <c r="L154" s="173"/>
      <c r="M154" s="174"/>
      <c r="N154" s="175"/>
      <c r="V154" s="176"/>
    </row>
    <row r="155" ht="15.75" customHeight="1">
      <c r="A155" s="170"/>
      <c r="B155" s="178"/>
      <c r="D155" s="172"/>
      <c r="K155" s="172"/>
      <c r="L155" s="173"/>
      <c r="M155" s="174"/>
      <c r="N155" s="175"/>
      <c r="V155" s="176"/>
    </row>
    <row r="156" ht="15.75" customHeight="1">
      <c r="A156" s="170"/>
      <c r="B156" s="178"/>
      <c r="D156" s="172"/>
      <c r="K156" s="172"/>
      <c r="L156" s="173"/>
      <c r="M156" s="174"/>
      <c r="N156" s="175"/>
      <c r="V156" s="176"/>
    </row>
    <row r="157" ht="15.75" customHeight="1">
      <c r="A157" s="170"/>
      <c r="B157" s="178"/>
      <c r="D157" s="172"/>
      <c r="K157" s="172"/>
      <c r="L157" s="173"/>
      <c r="M157" s="174"/>
      <c r="N157" s="175"/>
      <c r="V157" s="176"/>
    </row>
    <row r="158" ht="15.75" customHeight="1">
      <c r="A158" s="170"/>
      <c r="B158" s="178"/>
      <c r="D158" s="172"/>
      <c r="K158" s="172"/>
      <c r="L158" s="173"/>
      <c r="M158" s="174"/>
      <c r="N158" s="175"/>
      <c r="V158" s="176"/>
    </row>
    <row r="159" ht="15.75" customHeight="1">
      <c r="A159" s="170"/>
      <c r="B159" s="178"/>
      <c r="D159" s="172"/>
      <c r="K159" s="172"/>
      <c r="L159" s="173"/>
      <c r="M159" s="174"/>
      <c r="N159" s="175"/>
      <c r="V159" s="176"/>
    </row>
    <row r="160" ht="15.75" customHeight="1">
      <c r="A160" s="170"/>
      <c r="B160" s="178"/>
      <c r="D160" s="172"/>
      <c r="K160" s="172"/>
      <c r="L160" s="173"/>
      <c r="M160" s="174"/>
      <c r="N160" s="175"/>
      <c r="V160" s="176"/>
    </row>
    <row r="161" ht="15.75" customHeight="1">
      <c r="A161" s="170"/>
      <c r="B161" s="178"/>
      <c r="D161" s="172"/>
      <c r="K161" s="172"/>
      <c r="L161" s="173"/>
      <c r="M161" s="174"/>
      <c r="N161" s="175"/>
      <c r="V161" s="176"/>
    </row>
    <row r="162" ht="15.75" customHeight="1">
      <c r="A162" s="170"/>
      <c r="B162" s="178"/>
      <c r="D162" s="172"/>
      <c r="K162" s="172"/>
      <c r="L162" s="173"/>
      <c r="M162" s="174"/>
      <c r="N162" s="175"/>
      <c r="V162" s="176"/>
    </row>
    <row r="163" ht="15.75" customHeight="1">
      <c r="A163" s="170"/>
      <c r="B163" s="178"/>
      <c r="D163" s="172"/>
      <c r="K163" s="172"/>
      <c r="L163" s="173"/>
      <c r="M163" s="174"/>
      <c r="N163" s="175"/>
      <c r="V163" s="176"/>
    </row>
    <row r="164" ht="15.75" customHeight="1">
      <c r="A164" s="170"/>
      <c r="B164" s="178"/>
      <c r="D164" s="172"/>
      <c r="K164" s="172"/>
      <c r="L164" s="173"/>
      <c r="M164" s="174"/>
      <c r="N164" s="175"/>
      <c r="V164" s="176"/>
    </row>
    <row r="165" ht="15.75" customHeight="1">
      <c r="A165" s="170"/>
      <c r="B165" s="178"/>
      <c r="D165" s="172"/>
      <c r="K165" s="172"/>
      <c r="L165" s="173"/>
      <c r="M165" s="174"/>
      <c r="N165" s="175"/>
      <c r="V165" s="176"/>
    </row>
    <row r="166" ht="15.75" customHeight="1">
      <c r="A166" s="170"/>
      <c r="B166" s="178"/>
      <c r="D166" s="172"/>
      <c r="K166" s="172"/>
      <c r="L166" s="173"/>
      <c r="M166" s="174"/>
      <c r="N166" s="175"/>
      <c r="V166" s="176"/>
    </row>
    <row r="167" ht="15.75" customHeight="1">
      <c r="A167" s="170"/>
      <c r="B167" s="178"/>
      <c r="D167" s="172"/>
      <c r="K167" s="172"/>
      <c r="L167" s="173"/>
      <c r="M167" s="174"/>
      <c r="N167" s="175"/>
      <c r="V167" s="176"/>
    </row>
    <row r="168" ht="15.75" customHeight="1">
      <c r="A168" s="170"/>
      <c r="B168" s="178"/>
      <c r="D168" s="172"/>
      <c r="K168" s="172"/>
      <c r="L168" s="173"/>
      <c r="M168" s="174"/>
      <c r="N168" s="175"/>
      <c r="V168" s="176"/>
    </row>
    <row r="169" ht="15.75" customHeight="1">
      <c r="A169" s="170"/>
      <c r="B169" s="178"/>
      <c r="D169" s="172"/>
      <c r="K169" s="172"/>
      <c r="L169" s="173"/>
      <c r="M169" s="174"/>
      <c r="N169" s="175"/>
      <c r="V169" s="176"/>
    </row>
    <row r="170" ht="15.75" customHeight="1">
      <c r="A170" s="170"/>
      <c r="B170" s="178"/>
      <c r="D170" s="172"/>
      <c r="K170" s="172"/>
      <c r="L170" s="173"/>
      <c r="M170" s="174"/>
      <c r="N170" s="175"/>
      <c r="V170" s="176"/>
    </row>
    <row r="171" ht="15.75" customHeight="1">
      <c r="A171" s="170"/>
      <c r="B171" s="178"/>
      <c r="D171" s="172"/>
      <c r="K171" s="172"/>
      <c r="L171" s="173"/>
      <c r="M171" s="174"/>
      <c r="N171" s="175"/>
      <c r="V171" s="176"/>
    </row>
    <row r="172" ht="15.75" customHeight="1">
      <c r="A172" s="170"/>
      <c r="B172" s="178"/>
      <c r="D172" s="172"/>
      <c r="K172" s="172"/>
      <c r="L172" s="173"/>
      <c r="M172" s="174"/>
      <c r="N172" s="175"/>
      <c r="V172" s="176"/>
    </row>
    <row r="173" ht="15.75" customHeight="1">
      <c r="A173" s="170"/>
      <c r="B173" s="178"/>
      <c r="D173" s="172"/>
      <c r="K173" s="172"/>
      <c r="L173" s="173"/>
      <c r="M173" s="174"/>
      <c r="N173" s="175"/>
      <c r="V173" s="176"/>
    </row>
    <row r="174" ht="15.75" customHeight="1">
      <c r="A174" s="170"/>
      <c r="B174" s="178"/>
      <c r="D174" s="172"/>
      <c r="K174" s="172"/>
      <c r="L174" s="173"/>
      <c r="M174" s="174"/>
      <c r="N174" s="175"/>
      <c r="V174" s="176"/>
    </row>
    <row r="175" ht="15.75" customHeight="1">
      <c r="A175" s="170"/>
      <c r="B175" s="178"/>
      <c r="D175" s="172"/>
      <c r="K175" s="172"/>
      <c r="L175" s="173"/>
      <c r="M175" s="174"/>
      <c r="N175" s="175"/>
      <c r="V175" s="176"/>
    </row>
    <row r="176" ht="15.75" customHeight="1">
      <c r="A176" s="170"/>
      <c r="B176" s="178"/>
      <c r="D176" s="172"/>
      <c r="K176" s="172"/>
      <c r="L176" s="173"/>
      <c r="M176" s="174"/>
      <c r="N176" s="175"/>
      <c r="V176" s="176"/>
    </row>
    <row r="177" ht="15.75" customHeight="1">
      <c r="A177" s="170"/>
      <c r="B177" s="178"/>
      <c r="D177" s="172"/>
      <c r="K177" s="172"/>
      <c r="L177" s="173"/>
      <c r="M177" s="174"/>
      <c r="N177" s="175"/>
      <c r="V177" s="176"/>
    </row>
    <row r="178" ht="15.75" customHeight="1">
      <c r="A178" s="170"/>
      <c r="B178" s="178"/>
      <c r="D178" s="172"/>
      <c r="K178" s="172"/>
      <c r="L178" s="173"/>
      <c r="M178" s="174"/>
      <c r="N178" s="175"/>
      <c r="V178" s="176"/>
    </row>
    <row r="179" ht="15.75" customHeight="1">
      <c r="A179" s="170"/>
      <c r="B179" s="178"/>
      <c r="D179" s="172"/>
      <c r="K179" s="172"/>
      <c r="L179" s="173"/>
      <c r="M179" s="174"/>
      <c r="N179" s="175"/>
      <c r="V179" s="176"/>
    </row>
    <row r="180" ht="15.75" customHeight="1">
      <c r="A180" s="170"/>
      <c r="B180" s="178"/>
      <c r="D180" s="172"/>
      <c r="K180" s="172"/>
      <c r="L180" s="173"/>
      <c r="M180" s="174"/>
      <c r="N180" s="175"/>
      <c r="V180" s="176"/>
    </row>
    <row r="181" ht="15.75" customHeight="1">
      <c r="A181" s="170"/>
      <c r="B181" s="178"/>
      <c r="D181" s="172"/>
      <c r="K181" s="172"/>
      <c r="L181" s="173"/>
      <c r="M181" s="174"/>
      <c r="N181" s="175"/>
      <c r="V181" s="176"/>
    </row>
    <row r="182" ht="15.75" customHeight="1">
      <c r="A182" s="170"/>
      <c r="B182" s="178"/>
      <c r="D182" s="172"/>
      <c r="K182" s="172"/>
      <c r="L182" s="173"/>
      <c r="M182" s="174"/>
      <c r="N182" s="175"/>
      <c r="V182" s="176"/>
    </row>
    <row r="183" ht="15.75" customHeight="1">
      <c r="A183" s="170"/>
      <c r="B183" s="178"/>
      <c r="D183" s="172"/>
      <c r="K183" s="172"/>
      <c r="L183" s="173"/>
      <c r="M183" s="174"/>
      <c r="N183" s="175"/>
      <c r="V183" s="176"/>
    </row>
    <row r="184" ht="15.75" customHeight="1">
      <c r="A184" s="170"/>
      <c r="B184" s="178"/>
      <c r="D184" s="172"/>
      <c r="K184" s="172"/>
      <c r="L184" s="173"/>
      <c r="M184" s="174"/>
      <c r="N184" s="175"/>
      <c r="V184" s="176"/>
    </row>
    <row r="185" ht="15.75" customHeight="1">
      <c r="A185" s="170"/>
      <c r="B185" s="178"/>
      <c r="D185" s="172"/>
      <c r="K185" s="172"/>
      <c r="L185" s="173"/>
      <c r="M185" s="174"/>
      <c r="N185" s="175"/>
      <c r="V185" s="176"/>
    </row>
    <row r="186" ht="15.75" customHeight="1">
      <c r="A186" s="170"/>
      <c r="B186" s="178"/>
      <c r="D186" s="172"/>
      <c r="K186" s="172"/>
      <c r="L186" s="173"/>
      <c r="M186" s="174"/>
      <c r="N186" s="175"/>
      <c r="V186" s="176"/>
    </row>
    <row r="187" ht="15.75" customHeight="1">
      <c r="A187" s="170"/>
      <c r="B187" s="178"/>
      <c r="D187" s="172"/>
      <c r="K187" s="172"/>
      <c r="L187" s="173"/>
      <c r="M187" s="174"/>
      <c r="N187" s="175"/>
      <c r="V187" s="176"/>
    </row>
    <row r="188" ht="15.75" customHeight="1">
      <c r="A188" s="170"/>
      <c r="B188" s="178"/>
      <c r="D188" s="172"/>
      <c r="K188" s="172"/>
      <c r="L188" s="173"/>
      <c r="M188" s="174"/>
      <c r="N188" s="175"/>
      <c r="V188" s="176"/>
    </row>
    <row r="189" ht="15.75" customHeight="1">
      <c r="A189" s="170"/>
      <c r="B189" s="178"/>
      <c r="D189" s="172"/>
      <c r="K189" s="172"/>
      <c r="L189" s="173"/>
      <c r="M189" s="174"/>
      <c r="N189" s="175"/>
      <c r="V189" s="176"/>
    </row>
    <row r="190" ht="15.75" customHeight="1">
      <c r="A190" s="170"/>
      <c r="B190" s="178"/>
      <c r="D190" s="172"/>
      <c r="K190" s="172"/>
      <c r="L190" s="173"/>
      <c r="M190" s="174"/>
      <c r="N190" s="175"/>
      <c r="V190" s="176"/>
    </row>
    <row r="191" ht="15.75" customHeight="1">
      <c r="A191" s="170"/>
      <c r="B191" s="178"/>
      <c r="D191" s="172"/>
      <c r="K191" s="172"/>
      <c r="L191" s="173"/>
      <c r="M191" s="174"/>
      <c r="N191" s="175"/>
      <c r="V191" s="176"/>
    </row>
    <row r="192" ht="15.75" customHeight="1">
      <c r="A192" s="170"/>
      <c r="B192" s="178"/>
      <c r="D192" s="172"/>
      <c r="K192" s="172"/>
      <c r="L192" s="173"/>
      <c r="M192" s="174"/>
      <c r="N192" s="175"/>
      <c r="V192" s="176"/>
    </row>
    <row r="193" ht="15.75" customHeight="1">
      <c r="A193" s="170"/>
      <c r="B193" s="178"/>
      <c r="D193" s="172"/>
      <c r="K193" s="172"/>
      <c r="L193" s="173"/>
      <c r="M193" s="174"/>
      <c r="N193" s="175"/>
      <c r="V193" s="176"/>
    </row>
    <row r="194" ht="15.75" customHeight="1">
      <c r="A194" s="170"/>
      <c r="B194" s="178"/>
      <c r="D194" s="172"/>
      <c r="K194" s="172"/>
      <c r="L194" s="173"/>
      <c r="M194" s="174"/>
      <c r="N194" s="175"/>
      <c r="V194" s="176"/>
    </row>
    <row r="195" ht="15.75" customHeight="1">
      <c r="A195" s="170"/>
      <c r="B195" s="178"/>
      <c r="D195" s="172"/>
      <c r="K195" s="172"/>
      <c r="L195" s="173"/>
      <c r="M195" s="174"/>
      <c r="N195" s="175"/>
      <c r="V195" s="176"/>
    </row>
    <row r="196" ht="15.75" customHeight="1">
      <c r="A196" s="170"/>
      <c r="B196" s="178"/>
      <c r="D196" s="172"/>
      <c r="K196" s="172"/>
      <c r="L196" s="173"/>
      <c r="M196" s="174"/>
      <c r="N196" s="175"/>
      <c r="V196" s="176"/>
    </row>
    <row r="197" ht="15.75" customHeight="1">
      <c r="A197" s="170"/>
      <c r="B197" s="178"/>
      <c r="D197" s="172"/>
      <c r="K197" s="172"/>
      <c r="L197" s="173"/>
      <c r="M197" s="174"/>
      <c r="N197" s="175"/>
      <c r="V197" s="176"/>
    </row>
    <row r="198" ht="15.75" customHeight="1">
      <c r="A198" s="170"/>
      <c r="B198" s="178"/>
      <c r="D198" s="172"/>
      <c r="K198" s="172"/>
      <c r="L198" s="173"/>
      <c r="M198" s="174"/>
      <c r="N198" s="175"/>
      <c r="V198" s="176"/>
    </row>
    <row r="199" ht="15.75" customHeight="1">
      <c r="A199" s="170"/>
      <c r="B199" s="178"/>
      <c r="D199" s="172"/>
      <c r="K199" s="172"/>
      <c r="L199" s="173"/>
      <c r="M199" s="174"/>
      <c r="N199" s="175"/>
      <c r="V199" s="176"/>
    </row>
    <row r="200" ht="15.75" customHeight="1">
      <c r="A200" s="170"/>
      <c r="B200" s="178"/>
      <c r="D200" s="172"/>
      <c r="K200" s="172"/>
      <c r="L200" s="173"/>
      <c r="M200" s="174"/>
      <c r="N200" s="175"/>
      <c r="V200" s="176"/>
    </row>
    <row r="201" ht="15.75" customHeight="1">
      <c r="A201" s="170"/>
      <c r="B201" s="178"/>
      <c r="D201" s="172"/>
      <c r="K201" s="172"/>
      <c r="L201" s="173"/>
      <c r="M201" s="174"/>
      <c r="N201" s="175"/>
      <c r="V201" s="176"/>
    </row>
    <row r="202" ht="15.75" customHeight="1">
      <c r="A202" s="170"/>
      <c r="B202" s="178"/>
      <c r="D202" s="172"/>
      <c r="K202" s="172"/>
      <c r="L202" s="173"/>
      <c r="M202" s="174"/>
      <c r="N202" s="175"/>
      <c r="V202" s="176"/>
    </row>
    <row r="203" ht="15.75" customHeight="1">
      <c r="A203" s="170"/>
      <c r="B203" s="178"/>
      <c r="D203" s="172"/>
      <c r="K203" s="172"/>
      <c r="L203" s="173"/>
      <c r="M203" s="174"/>
      <c r="N203" s="175"/>
      <c r="V203" s="176"/>
    </row>
    <row r="204" ht="15.75" customHeight="1">
      <c r="A204" s="170"/>
      <c r="B204" s="178"/>
      <c r="D204" s="172"/>
      <c r="K204" s="172"/>
      <c r="L204" s="173"/>
      <c r="M204" s="174"/>
      <c r="N204" s="175"/>
      <c r="V204" s="176"/>
    </row>
    <row r="205" ht="15.75" customHeight="1">
      <c r="A205" s="170"/>
      <c r="B205" s="178"/>
      <c r="D205" s="172"/>
      <c r="K205" s="172"/>
      <c r="L205" s="173"/>
      <c r="M205" s="174"/>
      <c r="N205" s="175"/>
      <c r="V205" s="176"/>
    </row>
    <row r="206" ht="15.75" customHeight="1">
      <c r="A206" s="170"/>
      <c r="B206" s="178"/>
      <c r="D206" s="172"/>
      <c r="K206" s="172"/>
      <c r="L206" s="173"/>
      <c r="M206" s="174"/>
      <c r="N206" s="175"/>
      <c r="V206" s="176"/>
    </row>
    <row r="207" ht="15.75" customHeight="1">
      <c r="A207" s="170"/>
      <c r="B207" s="178"/>
      <c r="D207" s="172"/>
      <c r="K207" s="172"/>
      <c r="L207" s="173"/>
      <c r="M207" s="174"/>
      <c r="N207" s="175"/>
      <c r="V207" s="176"/>
    </row>
    <row r="208" ht="15.75" customHeight="1">
      <c r="A208" s="170"/>
      <c r="B208" s="178"/>
      <c r="D208" s="172"/>
      <c r="K208" s="172"/>
      <c r="L208" s="173"/>
      <c r="M208" s="174"/>
      <c r="N208" s="175"/>
      <c r="V208" s="176"/>
    </row>
    <row r="209" ht="15.75" customHeight="1">
      <c r="A209" s="170"/>
      <c r="B209" s="178"/>
      <c r="D209" s="172"/>
      <c r="K209" s="172"/>
      <c r="L209" s="173"/>
      <c r="M209" s="174"/>
      <c r="N209" s="175"/>
      <c r="V209" s="176"/>
    </row>
    <row r="210" ht="15.75" customHeight="1">
      <c r="A210" s="170"/>
      <c r="B210" s="178"/>
      <c r="D210" s="172"/>
      <c r="K210" s="172"/>
      <c r="L210" s="173"/>
      <c r="M210" s="174"/>
      <c r="N210" s="175"/>
      <c r="V210" s="176"/>
    </row>
    <row r="211" ht="15.75" customHeight="1">
      <c r="A211" s="170"/>
      <c r="B211" s="178"/>
      <c r="D211" s="172"/>
      <c r="K211" s="172"/>
      <c r="L211" s="173"/>
      <c r="M211" s="174"/>
      <c r="N211" s="175"/>
      <c r="V211" s="176"/>
    </row>
    <row r="212" ht="15.75" customHeight="1">
      <c r="A212" s="170"/>
      <c r="B212" s="178"/>
      <c r="D212" s="172"/>
      <c r="K212" s="172"/>
      <c r="L212" s="173"/>
      <c r="M212" s="174"/>
      <c r="N212" s="175"/>
      <c r="V212" s="176"/>
    </row>
    <row r="213" ht="15.75" customHeight="1">
      <c r="A213" s="170"/>
      <c r="B213" s="178"/>
      <c r="D213" s="172"/>
      <c r="K213" s="172"/>
      <c r="L213" s="173"/>
      <c r="M213" s="174"/>
      <c r="N213" s="175"/>
      <c r="V213" s="176"/>
    </row>
    <row r="214" ht="15.75" customHeight="1">
      <c r="A214" s="170"/>
      <c r="B214" s="178"/>
      <c r="D214" s="172"/>
      <c r="K214" s="172"/>
      <c r="L214" s="173"/>
      <c r="M214" s="174"/>
      <c r="N214" s="175"/>
      <c r="V214" s="176"/>
    </row>
    <row r="215" ht="15.75" customHeight="1">
      <c r="A215" s="170"/>
      <c r="B215" s="178"/>
      <c r="D215" s="172"/>
      <c r="K215" s="172"/>
      <c r="L215" s="173"/>
      <c r="M215" s="174"/>
      <c r="N215" s="175"/>
      <c r="V215" s="176"/>
    </row>
    <row r="216" ht="15.75" customHeight="1">
      <c r="A216" s="170"/>
      <c r="B216" s="178"/>
      <c r="D216" s="172"/>
      <c r="K216" s="172"/>
      <c r="L216" s="173"/>
      <c r="M216" s="174"/>
      <c r="N216" s="175"/>
      <c r="V216" s="176"/>
    </row>
    <row r="217" ht="15.75" customHeight="1">
      <c r="A217" s="170"/>
      <c r="B217" s="178"/>
      <c r="D217" s="172"/>
      <c r="K217" s="172"/>
      <c r="L217" s="173"/>
      <c r="M217" s="174"/>
      <c r="N217" s="175"/>
      <c r="V217" s="176"/>
    </row>
    <row r="218" ht="15.75" customHeight="1">
      <c r="A218" s="170"/>
      <c r="B218" s="178"/>
      <c r="D218" s="172"/>
      <c r="K218" s="172"/>
      <c r="L218" s="173"/>
      <c r="M218" s="174"/>
      <c r="N218" s="175"/>
      <c r="V218" s="176"/>
    </row>
    <row r="219" ht="15.75" customHeight="1">
      <c r="A219" s="170"/>
      <c r="B219" s="178"/>
      <c r="D219" s="172"/>
      <c r="K219" s="172"/>
      <c r="L219" s="173"/>
      <c r="M219" s="174"/>
      <c r="N219" s="175"/>
      <c r="V219" s="176"/>
    </row>
    <row r="220" ht="15.75" customHeight="1">
      <c r="A220" s="170"/>
      <c r="B220" s="178"/>
      <c r="D220" s="172"/>
      <c r="K220" s="172"/>
      <c r="L220" s="173"/>
      <c r="M220" s="174"/>
      <c r="N220" s="175"/>
      <c r="V220" s="176"/>
    </row>
    <row r="221" ht="15.75" customHeight="1">
      <c r="A221" s="170"/>
      <c r="B221" s="178"/>
      <c r="D221" s="172"/>
      <c r="K221" s="172"/>
      <c r="L221" s="173"/>
      <c r="M221" s="174"/>
      <c r="N221" s="175"/>
      <c r="V221" s="176"/>
    </row>
    <row r="222" ht="15.75" customHeight="1">
      <c r="A222" s="170"/>
      <c r="B222" s="178"/>
      <c r="D222" s="172"/>
      <c r="K222" s="172"/>
      <c r="L222" s="173"/>
      <c r="M222" s="174"/>
      <c r="N222" s="175"/>
      <c r="V222" s="176"/>
    </row>
    <row r="223" ht="15.75" customHeight="1">
      <c r="A223" s="170"/>
      <c r="B223" s="178"/>
      <c r="D223" s="172"/>
      <c r="K223" s="172"/>
      <c r="L223" s="173"/>
      <c r="M223" s="174"/>
      <c r="N223" s="175"/>
      <c r="V223" s="176"/>
    </row>
    <row r="224" ht="15.75" customHeight="1">
      <c r="A224" s="170"/>
      <c r="B224" s="178"/>
      <c r="D224" s="172"/>
      <c r="K224" s="172"/>
      <c r="L224" s="173"/>
      <c r="M224" s="174"/>
      <c r="N224" s="175"/>
      <c r="V224" s="176"/>
    </row>
    <row r="225" ht="15.75" customHeight="1">
      <c r="A225" s="170"/>
      <c r="B225" s="178"/>
      <c r="D225" s="172"/>
      <c r="K225" s="172"/>
      <c r="L225" s="173"/>
      <c r="M225" s="174"/>
      <c r="N225" s="175"/>
      <c r="V225" s="176"/>
    </row>
    <row r="226" ht="15.75" customHeight="1">
      <c r="A226" s="170"/>
      <c r="B226" s="178"/>
      <c r="D226" s="172"/>
      <c r="K226" s="172"/>
      <c r="L226" s="173"/>
      <c r="M226" s="174"/>
      <c r="N226" s="175"/>
      <c r="V226" s="176"/>
    </row>
    <row r="227" ht="15.75" customHeight="1">
      <c r="A227" s="170"/>
      <c r="B227" s="178"/>
      <c r="D227" s="172"/>
      <c r="K227" s="172"/>
      <c r="L227" s="173"/>
      <c r="M227" s="174"/>
      <c r="N227" s="175"/>
      <c r="V227" s="176"/>
    </row>
    <row r="228" ht="15.75" customHeight="1">
      <c r="A228" s="170"/>
      <c r="B228" s="178"/>
      <c r="D228" s="172"/>
      <c r="K228" s="172"/>
      <c r="L228" s="173"/>
      <c r="M228" s="174"/>
      <c r="N228" s="175"/>
      <c r="V228" s="176"/>
    </row>
    <row r="229" ht="15.75" customHeight="1">
      <c r="A229" s="170"/>
      <c r="B229" s="178"/>
      <c r="D229" s="172"/>
      <c r="K229" s="172"/>
      <c r="L229" s="173"/>
      <c r="M229" s="174"/>
      <c r="N229" s="175"/>
      <c r="V229" s="176"/>
    </row>
    <row r="230" ht="15.75" customHeight="1">
      <c r="A230" s="170"/>
      <c r="B230" s="178"/>
      <c r="D230" s="172"/>
      <c r="K230" s="172"/>
      <c r="L230" s="173"/>
      <c r="M230" s="174"/>
      <c r="N230" s="175"/>
      <c r="V230" s="176"/>
    </row>
    <row r="231" ht="15.75" customHeight="1">
      <c r="A231" s="170"/>
      <c r="B231" s="178"/>
      <c r="D231" s="172"/>
      <c r="K231" s="172"/>
      <c r="L231" s="173"/>
      <c r="M231" s="174"/>
      <c r="N231" s="175"/>
      <c r="V231" s="176"/>
    </row>
    <row r="232" ht="15.75" customHeight="1">
      <c r="A232" s="170"/>
      <c r="B232" s="178"/>
      <c r="D232" s="172"/>
      <c r="K232" s="172"/>
      <c r="L232" s="173"/>
      <c r="M232" s="174"/>
      <c r="N232" s="175"/>
      <c r="V232" s="176"/>
    </row>
    <row r="233" ht="15.75" customHeight="1">
      <c r="A233" s="170"/>
      <c r="B233" s="178"/>
      <c r="D233" s="172"/>
      <c r="K233" s="172"/>
      <c r="L233" s="173"/>
      <c r="M233" s="174"/>
      <c r="N233" s="175"/>
      <c r="V233" s="176"/>
    </row>
    <row r="234" ht="15.75" customHeight="1">
      <c r="A234" s="170"/>
      <c r="B234" s="178"/>
      <c r="D234" s="172"/>
      <c r="K234" s="172"/>
      <c r="L234" s="173"/>
      <c r="M234" s="174"/>
      <c r="N234" s="175"/>
      <c r="V234" s="176"/>
    </row>
    <row r="235" ht="15.75" customHeight="1">
      <c r="A235" s="170"/>
      <c r="B235" s="178"/>
      <c r="D235" s="172"/>
      <c r="K235" s="172"/>
      <c r="L235" s="173"/>
      <c r="M235" s="174"/>
      <c r="N235" s="175"/>
      <c r="V235" s="176"/>
    </row>
    <row r="236" ht="15.75" customHeight="1">
      <c r="A236" s="170"/>
      <c r="B236" s="178"/>
      <c r="D236" s="172"/>
      <c r="K236" s="172"/>
      <c r="L236" s="173"/>
      <c r="M236" s="174"/>
      <c r="N236" s="175"/>
      <c r="V236" s="176"/>
    </row>
    <row r="237" ht="15.75" customHeight="1">
      <c r="A237" s="170"/>
      <c r="B237" s="178"/>
      <c r="D237" s="172"/>
      <c r="K237" s="172"/>
      <c r="L237" s="173"/>
      <c r="M237" s="174"/>
      <c r="N237" s="175"/>
      <c r="V237" s="176"/>
    </row>
    <row r="238" ht="15.75" customHeight="1">
      <c r="A238" s="170"/>
      <c r="B238" s="178"/>
      <c r="D238" s="172"/>
      <c r="K238" s="172"/>
      <c r="L238" s="173"/>
      <c r="M238" s="174"/>
      <c r="N238" s="175"/>
      <c r="V238" s="176"/>
    </row>
    <row r="239" ht="15.75" customHeight="1">
      <c r="A239" s="170"/>
      <c r="B239" s="178"/>
      <c r="D239" s="172"/>
      <c r="K239" s="172"/>
      <c r="L239" s="173"/>
      <c r="M239" s="174"/>
      <c r="N239" s="175"/>
      <c r="V239" s="176"/>
    </row>
    <row r="240" ht="15.75" customHeight="1">
      <c r="A240" s="170"/>
      <c r="B240" s="178"/>
      <c r="D240" s="172"/>
      <c r="K240" s="172"/>
      <c r="L240" s="173"/>
      <c r="M240" s="174"/>
      <c r="N240" s="175"/>
      <c r="V240" s="176"/>
    </row>
    <row r="241" ht="15.75" customHeight="1">
      <c r="A241" s="170"/>
      <c r="B241" s="178"/>
      <c r="D241" s="172"/>
      <c r="K241" s="172"/>
      <c r="L241" s="173"/>
      <c r="M241" s="174"/>
      <c r="N241" s="175"/>
      <c r="V241" s="176"/>
    </row>
    <row r="242" ht="15.75" customHeight="1">
      <c r="A242" s="170"/>
      <c r="B242" s="178"/>
      <c r="D242" s="172"/>
      <c r="K242" s="172"/>
      <c r="L242" s="173"/>
      <c r="M242" s="174"/>
      <c r="N242" s="175"/>
      <c r="V242" s="176"/>
    </row>
    <row r="243" ht="15.75" customHeight="1">
      <c r="A243" s="170"/>
      <c r="B243" s="178"/>
      <c r="D243" s="172"/>
      <c r="K243" s="172"/>
      <c r="L243" s="173"/>
      <c r="M243" s="174"/>
      <c r="N243" s="175"/>
      <c r="V243" s="176"/>
    </row>
    <row r="244" ht="15.75" customHeight="1">
      <c r="A244" s="170"/>
      <c r="B244" s="178"/>
      <c r="D244" s="172"/>
      <c r="K244" s="172"/>
      <c r="L244" s="173"/>
      <c r="M244" s="174"/>
      <c r="N244" s="175"/>
      <c r="V244" s="176"/>
    </row>
    <row r="245" ht="15.75" customHeight="1">
      <c r="A245" s="170"/>
      <c r="B245" s="178"/>
      <c r="D245" s="172"/>
      <c r="K245" s="172"/>
      <c r="L245" s="173"/>
      <c r="M245" s="174"/>
      <c r="N245" s="175"/>
      <c r="V245" s="176"/>
    </row>
    <row r="246" ht="15.75" customHeight="1">
      <c r="A246" s="170"/>
      <c r="B246" s="178"/>
      <c r="D246" s="172"/>
      <c r="K246" s="172"/>
      <c r="L246" s="173"/>
      <c r="M246" s="174"/>
      <c r="N246" s="175"/>
      <c r="V246" s="176"/>
    </row>
    <row r="247" ht="15.75" customHeight="1">
      <c r="A247" s="170"/>
      <c r="B247" s="178"/>
      <c r="D247" s="172"/>
      <c r="K247" s="172"/>
      <c r="L247" s="173"/>
      <c r="M247" s="174"/>
      <c r="N247" s="175"/>
      <c r="V247" s="176"/>
    </row>
    <row r="248" ht="15.75" customHeight="1">
      <c r="A248" s="170"/>
      <c r="B248" s="178"/>
      <c r="D248" s="172"/>
      <c r="K248" s="172"/>
      <c r="L248" s="173"/>
      <c r="M248" s="174"/>
      <c r="N248" s="175"/>
      <c r="V248" s="176"/>
    </row>
    <row r="249" ht="15.75" customHeight="1">
      <c r="A249" s="170"/>
      <c r="B249" s="178"/>
      <c r="D249" s="172"/>
      <c r="K249" s="172"/>
      <c r="L249" s="173"/>
      <c r="M249" s="174"/>
      <c r="N249" s="175"/>
      <c r="V249" s="176"/>
    </row>
    <row r="250" ht="15.75" customHeight="1">
      <c r="A250" s="170"/>
      <c r="B250" s="178"/>
      <c r="D250" s="172"/>
      <c r="K250" s="172"/>
      <c r="L250" s="173"/>
      <c r="M250" s="174"/>
      <c r="N250" s="175"/>
      <c r="V250" s="176"/>
    </row>
    <row r="251" ht="15.75" customHeight="1">
      <c r="A251" s="170"/>
      <c r="B251" s="178"/>
      <c r="D251" s="172"/>
      <c r="K251" s="172"/>
      <c r="L251" s="173"/>
      <c r="M251" s="174"/>
      <c r="N251" s="175"/>
      <c r="V251" s="176"/>
    </row>
    <row r="252" ht="15.75" customHeight="1">
      <c r="A252" s="170"/>
      <c r="B252" s="178"/>
      <c r="D252" s="172"/>
      <c r="K252" s="172"/>
      <c r="L252" s="173"/>
      <c r="M252" s="174"/>
      <c r="N252" s="175"/>
      <c r="V252" s="176"/>
    </row>
    <row r="253" ht="15.75" customHeight="1">
      <c r="A253" s="170"/>
      <c r="B253" s="178"/>
      <c r="D253" s="172"/>
      <c r="K253" s="172"/>
      <c r="L253" s="173"/>
      <c r="M253" s="174"/>
      <c r="N253" s="175"/>
      <c r="V253" s="176"/>
    </row>
    <row r="254" ht="15.75" customHeight="1">
      <c r="A254" s="170"/>
      <c r="B254" s="178"/>
      <c r="D254" s="172"/>
      <c r="K254" s="172"/>
      <c r="L254" s="173"/>
      <c r="M254" s="174"/>
      <c r="N254" s="175"/>
      <c r="V254" s="176"/>
    </row>
    <row r="255" ht="15.75" customHeight="1">
      <c r="A255" s="170"/>
      <c r="B255" s="178"/>
      <c r="D255" s="172"/>
      <c r="K255" s="172"/>
      <c r="L255" s="173"/>
      <c r="M255" s="174"/>
      <c r="N255" s="175"/>
      <c r="V255" s="176"/>
    </row>
    <row r="256" ht="15.75" customHeight="1">
      <c r="A256" s="170"/>
      <c r="B256" s="178"/>
      <c r="D256" s="172"/>
      <c r="K256" s="172"/>
      <c r="L256" s="173"/>
      <c r="M256" s="174"/>
      <c r="N256" s="175"/>
      <c r="V256" s="176"/>
    </row>
    <row r="257" ht="15.75" customHeight="1">
      <c r="A257" s="170"/>
      <c r="B257" s="178"/>
      <c r="D257" s="172"/>
      <c r="K257" s="172"/>
      <c r="L257" s="173"/>
      <c r="M257" s="174"/>
      <c r="N257" s="175"/>
      <c r="V257" s="176"/>
    </row>
    <row r="258" ht="15.75" customHeight="1">
      <c r="A258" s="170"/>
      <c r="B258" s="178"/>
      <c r="D258" s="172"/>
      <c r="K258" s="172"/>
      <c r="L258" s="173"/>
      <c r="M258" s="174"/>
      <c r="N258" s="175"/>
      <c r="V258" s="176"/>
    </row>
    <row r="259" ht="15.75" customHeight="1">
      <c r="A259" s="170"/>
      <c r="B259" s="178"/>
      <c r="D259" s="172"/>
      <c r="K259" s="172"/>
      <c r="L259" s="173"/>
      <c r="M259" s="174"/>
      <c r="N259" s="175"/>
      <c r="V259" s="176"/>
    </row>
    <row r="260" ht="15.75" customHeight="1">
      <c r="A260" s="170"/>
      <c r="B260" s="178"/>
      <c r="D260" s="172"/>
      <c r="K260" s="172"/>
      <c r="L260" s="173"/>
      <c r="M260" s="174"/>
      <c r="N260" s="175"/>
      <c r="V260" s="176"/>
    </row>
    <row r="261" ht="15.75" customHeight="1">
      <c r="A261" s="170"/>
      <c r="B261" s="178"/>
      <c r="D261" s="172"/>
      <c r="K261" s="172"/>
      <c r="L261" s="173"/>
      <c r="M261" s="174"/>
      <c r="N261" s="175"/>
      <c r="V261" s="176"/>
    </row>
    <row r="262" ht="15.75" customHeight="1">
      <c r="A262" s="170"/>
      <c r="B262" s="178"/>
      <c r="D262" s="172"/>
      <c r="K262" s="172"/>
      <c r="L262" s="173"/>
      <c r="M262" s="174"/>
      <c r="N262" s="175"/>
      <c r="V262" s="176"/>
    </row>
    <row r="263" ht="15.75" customHeight="1">
      <c r="A263" s="170"/>
      <c r="B263" s="178"/>
      <c r="D263" s="172"/>
      <c r="K263" s="172"/>
      <c r="L263" s="173"/>
      <c r="M263" s="174"/>
      <c r="N263" s="175"/>
      <c r="V263" s="176"/>
    </row>
    <row r="264" ht="15.75" customHeight="1">
      <c r="A264" s="170"/>
      <c r="B264" s="178"/>
      <c r="D264" s="172"/>
      <c r="K264" s="172"/>
      <c r="L264" s="173"/>
      <c r="M264" s="174"/>
      <c r="N264" s="175"/>
      <c r="V264" s="176"/>
    </row>
    <row r="265" ht="15.75" customHeight="1">
      <c r="A265" s="170"/>
      <c r="B265" s="178"/>
      <c r="D265" s="172"/>
      <c r="K265" s="172"/>
      <c r="L265" s="173"/>
      <c r="M265" s="174"/>
      <c r="N265" s="175"/>
      <c r="V265" s="176"/>
    </row>
    <row r="266" ht="15.75" customHeight="1">
      <c r="A266" s="170"/>
      <c r="B266" s="178"/>
      <c r="D266" s="172"/>
      <c r="K266" s="172"/>
      <c r="L266" s="173"/>
      <c r="M266" s="174"/>
      <c r="N266" s="175"/>
      <c r="V266" s="176"/>
    </row>
    <row r="267" ht="15.75" customHeight="1">
      <c r="A267" s="170"/>
      <c r="B267" s="178"/>
      <c r="D267" s="172"/>
      <c r="K267" s="172"/>
      <c r="L267" s="173"/>
      <c r="M267" s="174"/>
      <c r="N267" s="175"/>
      <c r="V267" s="176"/>
    </row>
    <row r="268" ht="15.75" customHeight="1">
      <c r="A268" s="170"/>
      <c r="B268" s="178"/>
      <c r="D268" s="172"/>
      <c r="K268" s="172"/>
      <c r="L268" s="173"/>
      <c r="M268" s="174"/>
      <c r="N268" s="175"/>
      <c r="V268" s="176"/>
    </row>
    <row r="269" ht="15.75" customHeight="1">
      <c r="A269" s="170"/>
      <c r="B269" s="178"/>
      <c r="D269" s="172"/>
      <c r="K269" s="172"/>
      <c r="L269" s="173"/>
      <c r="M269" s="174"/>
      <c r="N269" s="175"/>
      <c r="V269" s="176"/>
    </row>
    <row r="270" ht="15.75" customHeight="1">
      <c r="A270" s="170"/>
      <c r="B270" s="178"/>
      <c r="D270" s="172"/>
      <c r="K270" s="172"/>
      <c r="L270" s="173"/>
      <c r="M270" s="174"/>
      <c r="N270" s="175"/>
      <c r="V270" s="176"/>
    </row>
    <row r="271" ht="15.75" customHeight="1">
      <c r="A271" s="170"/>
      <c r="B271" s="178"/>
      <c r="D271" s="172"/>
      <c r="K271" s="172"/>
      <c r="L271" s="173"/>
      <c r="M271" s="174"/>
      <c r="N271" s="175"/>
      <c r="V271" s="176"/>
    </row>
    <row r="272" ht="15.75" customHeight="1">
      <c r="A272" s="170"/>
      <c r="B272" s="178"/>
      <c r="D272" s="172"/>
      <c r="K272" s="172"/>
      <c r="L272" s="173"/>
      <c r="M272" s="174"/>
      <c r="N272" s="175"/>
      <c r="V272" s="176"/>
    </row>
    <row r="273" ht="15.75" customHeight="1">
      <c r="A273" s="170"/>
      <c r="B273" s="178"/>
      <c r="D273" s="172"/>
      <c r="K273" s="172"/>
      <c r="L273" s="173"/>
      <c r="M273" s="174"/>
      <c r="N273" s="175"/>
      <c r="V273" s="176"/>
    </row>
    <row r="274" ht="15.75" customHeight="1">
      <c r="A274" s="170"/>
      <c r="B274" s="178"/>
      <c r="D274" s="172"/>
      <c r="K274" s="172"/>
      <c r="L274" s="173"/>
      <c r="M274" s="174"/>
      <c r="N274" s="175"/>
      <c r="V274" s="176"/>
    </row>
    <row r="275" ht="15.75" customHeight="1">
      <c r="A275" s="170"/>
      <c r="B275" s="178"/>
      <c r="D275" s="172"/>
      <c r="K275" s="172"/>
      <c r="L275" s="173"/>
      <c r="M275" s="174"/>
      <c r="N275" s="175"/>
      <c r="V275" s="176"/>
    </row>
    <row r="276" ht="15.75" customHeight="1">
      <c r="A276" s="170"/>
      <c r="B276" s="178"/>
      <c r="D276" s="172"/>
      <c r="K276" s="172"/>
      <c r="L276" s="173"/>
      <c r="M276" s="174"/>
      <c r="N276" s="175"/>
      <c r="V276" s="176"/>
    </row>
    <row r="277" ht="15.75" customHeight="1">
      <c r="A277" s="170"/>
      <c r="B277" s="178"/>
      <c r="D277" s="172"/>
      <c r="K277" s="172"/>
      <c r="L277" s="173"/>
      <c r="M277" s="174"/>
      <c r="N277" s="175"/>
      <c r="V277" s="176"/>
    </row>
    <row r="278" ht="15.75" customHeight="1">
      <c r="A278" s="170"/>
      <c r="B278" s="178"/>
      <c r="D278" s="172"/>
      <c r="K278" s="172"/>
      <c r="L278" s="173"/>
      <c r="M278" s="174"/>
      <c r="N278" s="175"/>
      <c r="V278" s="176"/>
    </row>
    <row r="279" ht="15.75" customHeight="1">
      <c r="A279" s="170"/>
      <c r="B279" s="178"/>
      <c r="D279" s="172"/>
      <c r="K279" s="172"/>
      <c r="L279" s="173"/>
      <c r="M279" s="174"/>
      <c r="N279" s="175"/>
      <c r="V279" s="176"/>
    </row>
    <row r="280" ht="15.75" customHeight="1">
      <c r="A280" s="170"/>
      <c r="B280" s="178"/>
      <c r="D280" s="172"/>
      <c r="K280" s="172"/>
      <c r="L280" s="173"/>
      <c r="M280" s="174"/>
      <c r="N280" s="175"/>
      <c r="V280" s="176"/>
    </row>
    <row r="281" ht="15.75" customHeight="1">
      <c r="A281" s="170"/>
      <c r="B281" s="178"/>
      <c r="D281" s="172"/>
      <c r="K281" s="172"/>
      <c r="L281" s="173"/>
      <c r="M281" s="174"/>
      <c r="N281" s="175"/>
      <c r="V281" s="176"/>
    </row>
    <row r="282" ht="15.75" customHeight="1">
      <c r="A282" s="170"/>
      <c r="B282" s="178"/>
      <c r="D282" s="172"/>
      <c r="K282" s="172"/>
      <c r="L282" s="173"/>
      <c r="M282" s="174"/>
      <c r="N282" s="175"/>
      <c r="V282" s="176"/>
    </row>
    <row r="283" ht="15.75" customHeight="1">
      <c r="A283" s="170"/>
      <c r="B283" s="178"/>
      <c r="D283" s="172"/>
      <c r="K283" s="172"/>
      <c r="L283" s="173"/>
      <c r="M283" s="174"/>
      <c r="N283" s="175"/>
      <c r="V283" s="176"/>
    </row>
    <row r="284" ht="15.75" customHeight="1">
      <c r="A284" s="170"/>
      <c r="B284" s="178"/>
      <c r="D284" s="172"/>
      <c r="K284" s="172"/>
      <c r="L284" s="173"/>
      <c r="M284" s="174"/>
      <c r="N284" s="175"/>
      <c r="V284" s="176"/>
    </row>
    <row r="285" ht="15.75" customHeight="1">
      <c r="A285" s="170"/>
      <c r="B285" s="178"/>
      <c r="D285" s="172"/>
      <c r="K285" s="172"/>
      <c r="L285" s="173"/>
      <c r="M285" s="174"/>
      <c r="N285" s="175"/>
      <c r="V285" s="176"/>
    </row>
    <row r="286" ht="15.75" customHeight="1">
      <c r="A286" s="170"/>
      <c r="B286" s="178"/>
      <c r="D286" s="172"/>
      <c r="K286" s="172"/>
      <c r="L286" s="173"/>
      <c r="M286" s="174"/>
      <c r="N286" s="175"/>
      <c r="V286" s="176"/>
    </row>
    <row r="287" ht="15.75" customHeight="1">
      <c r="A287" s="170"/>
      <c r="B287" s="178"/>
      <c r="D287" s="172"/>
      <c r="K287" s="172"/>
      <c r="L287" s="173"/>
      <c r="M287" s="174"/>
      <c r="N287" s="175"/>
      <c r="V287" s="176"/>
    </row>
    <row r="288" ht="15.75" customHeight="1">
      <c r="A288" s="170"/>
      <c r="B288" s="178"/>
      <c r="D288" s="172"/>
      <c r="K288" s="172"/>
      <c r="L288" s="173"/>
      <c r="M288" s="174"/>
      <c r="N288" s="175"/>
      <c r="V288" s="176"/>
    </row>
    <row r="289" ht="15.75" customHeight="1">
      <c r="A289" s="170"/>
      <c r="B289" s="178"/>
      <c r="D289" s="172"/>
      <c r="K289" s="172"/>
      <c r="L289" s="173"/>
      <c r="M289" s="174"/>
      <c r="N289" s="175"/>
      <c r="V289" s="176"/>
    </row>
    <row r="290" ht="15.75" customHeight="1">
      <c r="A290" s="170"/>
      <c r="B290" s="178"/>
      <c r="D290" s="172"/>
      <c r="K290" s="172"/>
      <c r="L290" s="173"/>
      <c r="M290" s="174"/>
      <c r="N290" s="175"/>
      <c r="V290" s="176"/>
    </row>
    <row r="291" ht="15.75" customHeight="1">
      <c r="A291" s="170"/>
      <c r="B291" s="178"/>
      <c r="D291" s="172"/>
      <c r="K291" s="172"/>
      <c r="L291" s="173"/>
      <c r="M291" s="174"/>
      <c r="N291" s="175"/>
      <c r="V291" s="176"/>
    </row>
    <row r="292" ht="15.75" customHeight="1">
      <c r="A292" s="170"/>
      <c r="B292" s="178"/>
      <c r="D292" s="172"/>
      <c r="K292" s="172"/>
      <c r="L292" s="173"/>
      <c r="M292" s="174"/>
      <c r="N292" s="175"/>
      <c r="V292" s="176"/>
    </row>
    <row r="293" ht="15.75" customHeight="1">
      <c r="A293" s="170"/>
      <c r="B293" s="178"/>
      <c r="D293" s="172"/>
      <c r="K293" s="172"/>
      <c r="L293" s="173"/>
      <c r="M293" s="174"/>
      <c r="N293" s="175"/>
      <c r="V293" s="176"/>
    </row>
    <row r="294" ht="15.75" customHeight="1">
      <c r="A294" s="170"/>
      <c r="B294" s="178"/>
      <c r="D294" s="172"/>
      <c r="K294" s="172"/>
      <c r="L294" s="173"/>
      <c r="M294" s="174"/>
      <c r="N294" s="175"/>
      <c r="V294" s="176"/>
    </row>
    <row r="295" ht="15.75" customHeight="1">
      <c r="A295" s="170"/>
      <c r="B295" s="178"/>
      <c r="D295" s="172"/>
      <c r="K295" s="172"/>
      <c r="L295" s="173"/>
      <c r="M295" s="174"/>
      <c r="N295" s="175"/>
      <c r="V295" s="176"/>
    </row>
    <row r="296" ht="15.75" customHeight="1">
      <c r="A296" s="170"/>
      <c r="B296" s="178"/>
      <c r="D296" s="172"/>
      <c r="K296" s="172"/>
      <c r="L296" s="173"/>
      <c r="M296" s="174"/>
      <c r="N296" s="175"/>
      <c r="V296" s="176"/>
    </row>
    <row r="297" ht="15.75" customHeight="1">
      <c r="A297" s="170"/>
      <c r="B297" s="178"/>
      <c r="D297" s="172"/>
      <c r="K297" s="172"/>
      <c r="L297" s="173"/>
      <c r="M297" s="174"/>
      <c r="N297" s="175"/>
      <c r="V297" s="176"/>
    </row>
    <row r="298" ht="15.75" customHeight="1">
      <c r="A298" s="170"/>
      <c r="B298" s="178"/>
      <c r="D298" s="172"/>
      <c r="K298" s="172"/>
      <c r="L298" s="173"/>
      <c r="M298" s="174"/>
      <c r="N298" s="175"/>
      <c r="V298" s="176"/>
    </row>
    <row r="299" ht="15.75" customHeight="1">
      <c r="A299" s="170"/>
      <c r="B299" s="178"/>
      <c r="D299" s="172"/>
      <c r="K299" s="172"/>
      <c r="L299" s="173"/>
      <c r="M299" s="174"/>
      <c r="N299" s="175"/>
      <c r="V299" s="176"/>
    </row>
    <row r="300" ht="15.75" customHeight="1">
      <c r="A300" s="170"/>
      <c r="B300" s="178"/>
      <c r="D300" s="172"/>
      <c r="K300" s="172"/>
      <c r="L300" s="173"/>
      <c r="M300" s="174"/>
      <c r="N300" s="175"/>
      <c r="V300" s="176"/>
    </row>
    <row r="301" ht="15.75" customHeight="1">
      <c r="A301" s="170"/>
      <c r="B301" s="178"/>
      <c r="D301" s="172"/>
      <c r="K301" s="172"/>
      <c r="L301" s="173"/>
      <c r="M301" s="174"/>
      <c r="N301" s="175"/>
      <c r="V301" s="176"/>
    </row>
    <row r="302" ht="15.75" customHeight="1">
      <c r="A302" s="170"/>
      <c r="B302" s="178"/>
      <c r="D302" s="172"/>
      <c r="K302" s="172"/>
      <c r="L302" s="173"/>
      <c r="M302" s="174"/>
      <c r="N302" s="175"/>
      <c r="V302" s="176"/>
    </row>
    <row r="303" ht="15.75" customHeight="1">
      <c r="A303" s="170"/>
      <c r="B303" s="178"/>
      <c r="D303" s="172"/>
      <c r="K303" s="172"/>
      <c r="L303" s="173"/>
      <c r="M303" s="174"/>
      <c r="N303" s="175"/>
      <c r="V303" s="176"/>
    </row>
    <row r="304" ht="15.75" customHeight="1">
      <c r="A304" s="170"/>
      <c r="B304" s="178"/>
      <c r="D304" s="172"/>
      <c r="K304" s="172"/>
      <c r="L304" s="173"/>
      <c r="M304" s="174"/>
      <c r="N304" s="175"/>
      <c r="V304" s="176"/>
    </row>
    <row r="305" ht="15.75" customHeight="1">
      <c r="A305" s="170"/>
      <c r="B305" s="178"/>
      <c r="D305" s="172"/>
      <c r="K305" s="172"/>
      <c r="L305" s="173"/>
      <c r="M305" s="174"/>
      <c r="N305" s="175"/>
      <c r="V305" s="176"/>
    </row>
    <row r="306" ht="15.75" customHeight="1">
      <c r="A306" s="170"/>
      <c r="B306" s="178"/>
      <c r="D306" s="172"/>
      <c r="K306" s="172"/>
      <c r="L306" s="173"/>
      <c r="M306" s="174"/>
      <c r="N306" s="175"/>
      <c r="V306" s="176"/>
    </row>
    <row r="307" ht="15.75" customHeight="1">
      <c r="A307" s="170"/>
      <c r="B307" s="178"/>
      <c r="D307" s="172"/>
      <c r="K307" s="172"/>
      <c r="L307" s="173"/>
      <c r="M307" s="174"/>
      <c r="N307" s="175"/>
      <c r="V307" s="176"/>
    </row>
    <row r="308" ht="15.75" customHeight="1">
      <c r="A308" s="170"/>
      <c r="B308" s="178"/>
      <c r="D308" s="172"/>
      <c r="K308" s="172"/>
      <c r="L308" s="173"/>
      <c r="M308" s="174"/>
      <c r="N308" s="175"/>
      <c r="V308" s="176"/>
    </row>
    <row r="309" ht="15.75" customHeight="1">
      <c r="A309" s="170"/>
      <c r="B309" s="178"/>
      <c r="D309" s="172"/>
      <c r="K309" s="172"/>
      <c r="L309" s="173"/>
      <c r="M309" s="174"/>
      <c r="N309" s="175"/>
      <c r="V309" s="176"/>
    </row>
    <row r="310" ht="15.75" customHeight="1">
      <c r="A310" s="170"/>
      <c r="B310" s="178"/>
      <c r="D310" s="172"/>
      <c r="K310" s="172"/>
      <c r="L310" s="173"/>
      <c r="M310" s="174"/>
      <c r="N310" s="175"/>
      <c r="V310" s="176"/>
    </row>
    <row r="311" ht="15.75" customHeight="1">
      <c r="A311" s="170"/>
      <c r="B311" s="178"/>
      <c r="D311" s="172"/>
      <c r="K311" s="172"/>
      <c r="L311" s="173"/>
      <c r="M311" s="174"/>
      <c r="N311" s="175"/>
      <c r="V311" s="176"/>
    </row>
    <row r="312" ht="15.75" customHeight="1">
      <c r="A312" s="170"/>
      <c r="B312" s="178"/>
      <c r="D312" s="172"/>
      <c r="K312" s="172"/>
      <c r="L312" s="173"/>
      <c r="M312" s="174"/>
      <c r="N312" s="175"/>
      <c r="V312" s="176"/>
    </row>
    <row r="313" ht="15.75" customHeight="1">
      <c r="A313" s="170"/>
      <c r="B313" s="178"/>
      <c r="D313" s="172"/>
      <c r="K313" s="172"/>
      <c r="L313" s="173"/>
      <c r="M313" s="174"/>
      <c r="N313" s="175"/>
      <c r="V313" s="176"/>
    </row>
    <row r="314" ht="15.75" customHeight="1">
      <c r="A314" s="170"/>
      <c r="B314" s="178"/>
      <c r="D314" s="172"/>
      <c r="K314" s="172"/>
      <c r="L314" s="173"/>
      <c r="M314" s="174"/>
      <c r="N314" s="175"/>
      <c r="V314" s="176"/>
    </row>
    <row r="315" ht="15.75" customHeight="1">
      <c r="A315" s="170"/>
      <c r="B315" s="178"/>
      <c r="D315" s="172"/>
      <c r="K315" s="172"/>
      <c r="L315" s="173"/>
      <c r="M315" s="174"/>
      <c r="N315" s="175"/>
      <c r="V315" s="176"/>
    </row>
    <row r="316" ht="15.75" customHeight="1">
      <c r="A316" s="170"/>
      <c r="B316" s="178"/>
      <c r="D316" s="172"/>
      <c r="K316" s="172"/>
      <c r="L316" s="173"/>
      <c r="M316" s="174"/>
      <c r="N316" s="175"/>
      <c r="V316" s="176"/>
    </row>
    <row r="317" ht="15.75" customHeight="1">
      <c r="A317" s="170"/>
      <c r="B317" s="178"/>
      <c r="D317" s="172"/>
      <c r="K317" s="172"/>
      <c r="L317" s="173"/>
      <c r="M317" s="174"/>
      <c r="N317" s="175"/>
      <c r="V317" s="176"/>
    </row>
    <row r="318" ht="15.75" customHeight="1">
      <c r="A318" s="170"/>
      <c r="B318" s="178"/>
      <c r="D318" s="172"/>
      <c r="K318" s="172"/>
      <c r="L318" s="173"/>
      <c r="M318" s="174"/>
      <c r="N318" s="175"/>
      <c r="V318" s="176"/>
    </row>
    <row r="319" ht="15.75" customHeight="1">
      <c r="A319" s="170"/>
      <c r="B319" s="178"/>
      <c r="D319" s="172"/>
      <c r="K319" s="172"/>
      <c r="L319" s="173"/>
      <c r="M319" s="174"/>
      <c r="N319" s="175"/>
      <c r="V319" s="176"/>
    </row>
    <row r="320" ht="15.75" customHeight="1">
      <c r="A320" s="170"/>
      <c r="B320" s="178"/>
      <c r="D320" s="172"/>
      <c r="K320" s="172"/>
      <c r="L320" s="173"/>
      <c r="M320" s="174"/>
      <c r="N320" s="175"/>
      <c r="V320" s="176"/>
    </row>
    <row r="321" ht="15.75" customHeight="1">
      <c r="A321" s="170"/>
      <c r="B321" s="178"/>
      <c r="D321" s="172"/>
      <c r="K321" s="172"/>
      <c r="L321" s="173"/>
      <c r="M321" s="174"/>
      <c r="N321" s="175"/>
      <c r="V321" s="176"/>
    </row>
    <row r="322" ht="15.75" customHeight="1">
      <c r="A322" s="170"/>
      <c r="B322" s="178"/>
      <c r="D322" s="172"/>
      <c r="K322" s="172"/>
      <c r="L322" s="173"/>
      <c r="M322" s="174"/>
      <c r="N322" s="175"/>
      <c r="V322" s="176"/>
    </row>
    <row r="323" ht="15.75" customHeight="1">
      <c r="A323" s="170"/>
      <c r="B323" s="178"/>
      <c r="D323" s="172"/>
      <c r="K323" s="172"/>
      <c r="L323" s="173"/>
      <c r="M323" s="174"/>
      <c r="N323" s="175"/>
      <c r="V323" s="176"/>
    </row>
    <row r="324" ht="15.75" customHeight="1">
      <c r="A324" s="170"/>
      <c r="B324" s="178"/>
      <c r="D324" s="172"/>
      <c r="K324" s="172"/>
      <c r="L324" s="173"/>
      <c r="M324" s="174"/>
      <c r="N324" s="175"/>
      <c r="V324" s="176"/>
    </row>
    <row r="325" ht="15.75" customHeight="1">
      <c r="A325" s="170"/>
      <c r="B325" s="178"/>
      <c r="D325" s="172"/>
      <c r="K325" s="172"/>
      <c r="L325" s="173"/>
      <c r="M325" s="174"/>
      <c r="N325" s="175"/>
      <c r="V325" s="176"/>
    </row>
    <row r="326" ht="15.75" customHeight="1">
      <c r="A326" s="170"/>
      <c r="B326" s="178"/>
      <c r="D326" s="172"/>
      <c r="K326" s="172"/>
      <c r="L326" s="173"/>
      <c r="M326" s="174"/>
      <c r="N326" s="175"/>
      <c r="V326" s="176"/>
    </row>
    <row r="327" ht="15.75" customHeight="1">
      <c r="A327" s="170"/>
      <c r="B327" s="178"/>
      <c r="D327" s="172"/>
      <c r="K327" s="172"/>
      <c r="L327" s="173"/>
      <c r="M327" s="174"/>
      <c r="N327" s="175"/>
      <c r="V327" s="176"/>
    </row>
    <row r="328" ht="15.75" customHeight="1">
      <c r="A328" s="170"/>
      <c r="B328" s="178"/>
      <c r="D328" s="172"/>
      <c r="K328" s="172"/>
      <c r="L328" s="173"/>
      <c r="M328" s="174"/>
      <c r="N328" s="175"/>
      <c r="V328" s="176"/>
    </row>
    <row r="329" ht="15.75" customHeight="1">
      <c r="A329" s="170"/>
      <c r="B329" s="178"/>
      <c r="D329" s="172"/>
      <c r="K329" s="172"/>
      <c r="L329" s="173"/>
      <c r="M329" s="174"/>
      <c r="N329" s="175"/>
      <c r="V329" s="176"/>
    </row>
    <row r="330" ht="15.75" customHeight="1">
      <c r="A330" s="170"/>
      <c r="B330" s="178"/>
      <c r="D330" s="172"/>
      <c r="K330" s="172"/>
      <c r="L330" s="173"/>
      <c r="M330" s="174"/>
      <c r="N330" s="175"/>
      <c r="V330" s="176"/>
    </row>
    <row r="331" ht="15.75" customHeight="1">
      <c r="A331" s="170"/>
      <c r="B331" s="178"/>
      <c r="D331" s="172"/>
      <c r="K331" s="172"/>
      <c r="L331" s="173"/>
      <c r="M331" s="174"/>
      <c r="N331" s="175"/>
      <c r="V331" s="176"/>
    </row>
    <row r="332" ht="15.75" customHeight="1">
      <c r="A332" s="170"/>
      <c r="B332" s="178"/>
      <c r="D332" s="172"/>
      <c r="K332" s="172"/>
      <c r="L332" s="173"/>
      <c r="M332" s="174"/>
      <c r="N332" s="175"/>
      <c r="V332" s="176"/>
    </row>
    <row r="333" ht="15.75" customHeight="1">
      <c r="A333" s="170"/>
      <c r="B333" s="178"/>
      <c r="D333" s="172"/>
      <c r="K333" s="172"/>
      <c r="L333" s="173"/>
      <c r="M333" s="174"/>
      <c r="N333" s="175"/>
      <c r="V333" s="176"/>
    </row>
    <row r="334" ht="15.75" customHeight="1">
      <c r="A334" s="170"/>
      <c r="B334" s="178"/>
      <c r="D334" s="172"/>
      <c r="K334" s="172"/>
      <c r="L334" s="173"/>
      <c r="M334" s="174"/>
      <c r="N334" s="175"/>
      <c r="V334" s="176"/>
    </row>
    <row r="335" ht="15.75" customHeight="1">
      <c r="A335" s="170"/>
      <c r="B335" s="178"/>
      <c r="D335" s="172"/>
      <c r="K335" s="172"/>
      <c r="L335" s="173"/>
      <c r="M335" s="174"/>
      <c r="N335" s="175"/>
      <c r="V335" s="176"/>
    </row>
    <row r="336" ht="15.75" customHeight="1">
      <c r="A336" s="170"/>
      <c r="B336" s="178"/>
      <c r="D336" s="172"/>
      <c r="K336" s="172"/>
      <c r="L336" s="173"/>
      <c r="M336" s="174"/>
      <c r="N336" s="175"/>
      <c r="V336" s="176"/>
    </row>
    <row r="337" ht="15.75" customHeight="1">
      <c r="A337" s="170"/>
      <c r="B337" s="178"/>
      <c r="D337" s="172"/>
      <c r="K337" s="172"/>
      <c r="L337" s="173"/>
      <c r="M337" s="174"/>
      <c r="N337" s="175"/>
      <c r="V337" s="176"/>
    </row>
    <row r="338" ht="15.75" customHeight="1">
      <c r="A338" s="170"/>
      <c r="B338" s="178"/>
      <c r="D338" s="172"/>
      <c r="K338" s="172"/>
      <c r="L338" s="173"/>
      <c r="M338" s="174"/>
      <c r="N338" s="175"/>
      <c r="V338" s="176"/>
    </row>
    <row r="339" ht="15.75" customHeight="1">
      <c r="A339" s="170"/>
      <c r="B339" s="178"/>
      <c r="D339" s="172"/>
      <c r="K339" s="172"/>
      <c r="L339" s="173"/>
      <c r="M339" s="174"/>
      <c r="N339" s="175"/>
      <c r="V339" s="176"/>
    </row>
    <row r="340" ht="15.75" customHeight="1">
      <c r="A340" s="170"/>
      <c r="B340" s="178"/>
      <c r="D340" s="172"/>
      <c r="K340" s="172"/>
      <c r="L340" s="173"/>
      <c r="M340" s="174"/>
      <c r="N340" s="175"/>
      <c r="V340" s="176"/>
    </row>
    <row r="341" ht="15.75" customHeight="1">
      <c r="A341" s="170"/>
      <c r="B341" s="178"/>
      <c r="D341" s="172"/>
      <c r="K341" s="172"/>
      <c r="L341" s="173"/>
      <c r="M341" s="174"/>
      <c r="N341" s="175"/>
      <c r="V341" s="176"/>
    </row>
    <row r="342" ht="15.75" customHeight="1">
      <c r="A342" s="170"/>
      <c r="B342" s="178"/>
      <c r="D342" s="172"/>
      <c r="K342" s="172"/>
      <c r="L342" s="173"/>
      <c r="M342" s="174"/>
      <c r="N342" s="175"/>
      <c r="V342" s="176"/>
    </row>
    <row r="343" ht="15.75" customHeight="1">
      <c r="A343" s="170"/>
      <c r="B343" s="178"/>
      <c r="D343" s="172"/>
      <c r="K343" s="172"/>
      <c r="L343" s="173"/>
      <c r="M343" s="174"/>
      <c r="N343" s="175"/>
      <c r="V343" s="176"/>
    </row>
    <row r="344" ht="15.75" customHeight="1">
      <c r="A344" s="170"/>
      <c r="B344" s="178"/>
      <c r="D344" s="172"/>
      <c r="K344" s="172"/>
      <c r="L344" s="173"/>
      <c r="M344" s="174"/>
      <c r="N344" s="175"/>
      <c r="V344" s="176"/>
    </row>
    <row r="345" ht="15.75" customHeight="1">
      <c r="A345" s="170"/>
      <c r="B345" s="178"/>
      <c r="D345" s="172"/>
      <c r="K345" s="172"/>
      <c r="L345" s="173"/>
      <c r="M345" s="174"/>
      <c r="N345" s="175"/>
      <c r="V345" s="176"/>
    </row>
    <row r="346" ht="15.75" customHeight="1">
      <c r="A346" s="170"/>
      <c r="B346" s="178"/>
      <c r="D346" s="172"/>
      <c r="K346" s="172"/>
      <c r="L346" s="173"/>
      <c r="M346" s="174"/>
      <c r="N346" s="175"/>
      <c r="V346" s="176"/>
    </row>
    <row r="347" ht="15.75" customHeight="1">
      <c r="A347" s="170"/>
      <c r="B347" s="178"/>
      <c r="D347" s="172"/>
      <c r="K347" s="172"/>
      <c r="L347" s="173"/>
      <c r="M347" s="174"/>
      <c r="N347" s="175"/>
      <c r="V347" s="176"/>
    </row>
    <row r="348" ht="15.75" customHeight="1">
      <c r="A348" s="170"/>
      <c r="B348" s="178"/>
      <c r="D348" s="172"/>
      <c r="K348" s="172"/>
      <c r="L348" s="173"/>
      <c r="M348" s="174"/>
      <c r="N348" s="175"/>
      <c r="V348" s="176"/>
    </row>
    <row r="349" ht="15.75" customHeight="1">
      <c r="A349" s="170"/>
      <c r="B349" s="178"/>
      <c r="D349" s="172"/>
      <c r="K349" s="172"/>
      <c r="L349" s="173"/>
      <c r="M349" s="174"/>
      <c r="N349" s="175"/>
      <c r="V349" s="176"/>
    </row>
    <row r="350" ht="15.75" customHeight="1">
      <c r="A350" s="170"/>
      <c r="B350" s="178"/>
      <c r="D350" s="172"/>
      <c r="K350" s="172"/>
      <c r="L350" s="173"/>
      <c r="M350" s="174"/>
      <c r="N350" s="175"/>
      <c r="V350" s="176"/>
    </row>
    <row r="351" ht="15.75" customHeight="1">
      <c r="A351" s="170"/>
      <c r="B351" s="178"/>
      <c r="D351" s="172"/>
      <c r="K351" s="172"/>
      <c r="L351" s="173"/>
      <c r="M351" s="174"/>
      <c r="N351" s="175"/>
      <c r="V351" s="176"/>
    </row>
    <row r="352" ht="15.75" customHeight="1">
      <c r="A352" s="170"/>
      <c r="B352" s="178"/>
      <c r="D352" s="172"/>
      <c r="K352" s="172"/>
      <c r="L352" s="173"/>
      <c r="M352" s="174"/>
      <c r="N352" s="175"/>
      <c r="V352" s="176"/>
    </row>
    <row r="353" ht="15.75" customHeight="1">
      <c r="A353" s="170"/>
      <c r="B353" s="178"/>
      <c r="D353" s="172"/>
      <c r="K353" s="172"/>
      <c r="L353" s="173"/>
      <c r="M353" s="174"/>
      <c r="N353" s="175"/>
      <c r="V353" s="176"/>
    </row>
    <row r="354" ht="15.75" customHeight="1">
      <c r="A354" s="170"/>
      <c r="B354" s="178"/>
      <c r="D354" s="172"/>
      <c r="K354" s="172"/>
      <c r="L354" s="173"/>
      <c r="M354" s="174"/>
      <c r="N354" s="175"/>
      <c r="V354" s="176"/>
    </row>
    <row r="355" ht="15.75" customHeight="1">
      <c r="A355" s="170"/>
      <c r="B355" s="178"/>
      <c r="D355" s="172"/>
      <c r="K355" s="172"/>
      <c r="L355" s="173"/>
      <c r="M355" s="174"/>
      <c r="N355" s="175"/>
      <c r="V355" s="176"/>
    </row>
    <row r="356" ht="15.75" customHeight="1">
      <c r="A356" s="170"/>
      <c r="B356" s="178"/>
      <c r="D356" s="172"/>
      <c r="K356" s="172"/>
      <c r="L356" s="173"/>
      <c r="M356" s="174"/>
      <c r="N356" s="175"/>
      <c r="V356" s="176"/>
    </row>
    <row r="357" ht="15.75" customHeight="1">
      <c r="A357" s="170"/>
      <c r="B357" s="178"/>
      <c r="D357" s="172"/>
      <c r="K357" s="172"/>
      <c r="L357" s="173"/>
      <c r="M357" s="174"/>
      <c r="N357" s="175"/>
      <c r="V357" s="176"/>
    </row>
    <row r="358" ht="15.75" customHeight="1">
      <c r="A358" s="170"/>
      <c r="B358" s="178"/>
      <c r="D358" s="172"/>
      <c r="K358" s="172"/>
      <c r="L358" s="173"/>
      <c r="M358" s="174"/>
      <c r="N358" s="175"/>
      <c r="V358" s="176"/>
    </row>
    <row r="359" ht="15.75" customHeight="1">
      <c r="A359" s="170"/>
      <c r="B359" s="178"/>
      <c r="D359" s="172"/>
      <c r="K359" s="172"/>
      <c r="L359" s="173"/>
      <c r="M359" s="174"/>
      <c r="N359" s="175"/>
      <c r="V359" s="176"/>
    </row>
    <row r="360" ht="15.75" customHeight="1">
      <c r="A360" s="170"/>
      <c r="B360" s="178"/>
      <c r="D360" s="172"/>
      <c r="K360" s="172"/>
      <c r="L360" s="173"/>
      <c r="M360" s="174"/>
      <c r="N360" s="175"/>
      <c r="V360" s="176"/>
    </row>
    <row r="361" ht="15.75" customHeight="1">
      <c r="A361" s="170"/>
      <c r="B361" s="178"/>
      <c r="D361" s="172"/>
      <c r="K361" s="172"/>
      <c r="L361" s="173"/>
      <c r="M361" s="174"/>
      <c r="N361" s="175"/>
      <c r="V361" s="176"/>
    </row>
    <row r="362" ht="15.75" customHeight="1">
      <c r="A362" s="170"/>
      <c r="B362" s="178"/>
      <c r="D362" s="172"/>
      <c r="K362" s="172"/>
      <c r="L362" s="173"/>
      <c r="M362" s="174"/>
      <c r="N362" s="175"/>
      <c r="V362" s="176"/>
    </row>
    <row r="363" ht="15.75" customHeight="1">
      <c r="A363" s="170"/>
      <c r="B363" s="178"/>
      <c r="D363" s="172"/>
      <c r="K363" s="172"/>
      <c r="L363" s="173"/>
      <c r="M363" s="174"/>
      <c r="N363" s="175"/>
      <c r="V363" s="176"/>
    </row>
    <row r="364" ht="15.75" customHeight="1">
      <c r="A364" s="170"/>
      <c r="B364" s="178"/>
      <c r="D364" s="172"/>
      <c r="K364" s="172"/>
      <c r="L364" s="173"/>
      <c r="M364" s="174"/>
      <c r="N364" s="175"/>
      <c r="V364" s="176"/>
    </row>
    <row r="365" ht="15.75" customHeight="1">
      <c r="A365" s="170"/>
      <c r="B365" s="178"/>
      <c r="D365" s="172"/>
      <c r="K365" s="172"/>
      <c r="L365" s="173"/>
      <c r="M365" s="174"/>
      <c r="N365" s="175"/>
      <c r="V365" s="176"/>
    </row>
    <row r="366" ht="15.75" customHeight="1">
      <c r="A366" s="170"/>
      <c r="B366" s="178"/>
      <c r="D366" s="172"/>
      <c r="K366" s="172"/>
      <c r="L366" s="173"/>
      <c r="M366" s="174"/>
      <c r="N366" s="175"/>
      <c r="V366" s="176"/>
    </row>
    <row r="367" ht="15.75" customHeight="1">
      <c r="A367" s="170"/>
      <c r="B367" s="178"/>
      <c r="D367" s="172"/>
      <c r="K367" s="172"/>
      <c r="L367" s="173"/>
      <c r="M367" s="174"/>
      <c r="N367" s="175"/>
      <c r="V367" s="176"/>
    </row>
    <row r="368" ht="15.75" customHeight="1">
      <c r="A368" s="170"/>
      <c r="B368" s="178"/>
      <c r="D368" s="172"/>
      <c r="K368" s="172"/>
      <c r="L368" s="173"/>
      <c r="M368" s="174"/>
      <c r="N368" s="175"/>
      <c r="V368" s="176"/>
    </row>
    <row r="369" ht="15.75" customHeight="1">
      <c r="A369" s="170"/>
      <c r="B369" s="178"/>
      <c r="D369" s="172"/>
      <c r="K369" s="172"/>
      <c r="L369" s="173"/>
      <c r="M369" s="174"/>
      <c r="N369" s="175"/>
      <c r="V369" s="176"/>
    </row>
    <row r="370" ht="15.75" customHeight="1">
      <c r="A370" s="170"/>
      <c r="B370" s="178"/>
      <c r="D370" s="172"/>
      <c r="K370" s="172"/>
      <c r="L370" s="173"/>
      <c r="M370" s="174"/>
      <c r="N370" s="175"/>
      <c r="V370" s="176"/>
    </row>
    <row r="371" ht="15.75" customHeight="1">
      <c r="A371" s="170"/>
      <c r="B371" s="178"/>
      <c r="D371" s="172"/>
      <c r="K371" s="172"/>
      <c r="L371" s="173"/>
      <c r="M371" s="174"/>
      <c r="N371" s="175"/>
      <c r="V371" s="176"/>
    </row>
    <row r="372" ht="15.75" customHeight="1">
      <c r="A372" s="170"/>
      <c r="B372" s="178"/>
      <c r="D372" s="172"/>
      <c r="K372" s="172"/>
      <c r="L372" s="173"/>
      <c r="M372" s="174"/>
      <c r="N372" s="175"/>
      <c r="V372" s="176"/>
    </row>
    <row r="373" ht="15.75" customHeight="1">
      <c r="A373" s="170"/>
      <c r="B373" s="178"/>
      <c r="D373" s="172"/>
      <c r="K373" s="172"/>
      <c r="L373" s="173"/>
      <c r="M373" s="174"/>
      <c r="N373" s="175"/>
      <c r="V373" s="176"/>
    </row>
    <row r="374" ht="15.75" customHeight="1">
      <c r="A374" s="170"/>
      <c r="B374" s="178"/>
      <c r="D374" s="172"/>
      <c r="K374" s="172"/>
      <c r="L374" s="173"/>
      <c r="M374" s="174"/>
      <c r="N374" s="175"/>
      <c r="V374" s="176"/>
    </row>
    <row r="375" ht="15.75" customHeight="1">
      <c r="A375" s="170"/>
      <c r="B375" s="178"/>
      <c r="D375" s="172"/>
      <c r="K375" s="172"/>
      <c r="L375" s="173"/>
      <c r="M375" s="174"/>
      <c r="N375" s="175"/>
      <c r="V375" s="176"/>
    </row>
    <row r="376" ht="15.75" customHeight="1">
      <c r="A376" s="170"/>
      <c r="B376" s="178"/>
      <c r="D376" s="172"/>
      <c r="K376" s="172"/>
      <c r="L376" s="173"/>
      <c r="M376" s="174"/>
      <c r="N376" s="175"/>
      <c r="V376" s="176"/>
    </row>
    <row r="377" ht="15.75" customHeight="1">
      <c r="A377" s="170"/>
      <c r="B377" s="178"/>
      <c r="D377" s="172"/>
      <c r="K377" s="172"/>
      <c r="L377" s="173"/>
      <c r="M377" s="174"/>
      <c r="N377" s="175"/>
      <c r="V377" s="176"/>
    </row>
    <row r="378" ht="15.75" customHeight="1">
      <c r="A378" s="170"/>
      <c r="B378" s="178"/>
      <c r="D378" s="172"/>
      <c r="K378" s="172"/>
      <c r="L378" s="173"/>
      <c r="M378" s="174"/>
      <c r="N378" s="175"/>
      <c r="V378" s="176"/>
    </row>
    <row r="379" ht="15.75" customHeight="1">
      <c r="A379" s="170"/>
      <c r="B379" s="178"/>
      <c r="D379" s="172"/>
      <c r="K379" s="172"/>
      <c r="L379" s="173"/>
      <c r="M379" s="174"/>
      <c r="N379" s="175"/>
      <c r="V379" s="176"/>
    </row>
    <row r="380" ht="15.75" customHeight="1">
      <c r="A380" s="170"/>
      <c r="B380" s="178"/>
      <c r="D380" s="172"/>
      <c r="K380" s="172"/>
      <c r="L380" s="173"/>
      <c r="M380" s="174"/>
      <c r="N380" s="175"/>
      <c r="V380" s="176"/>
    </row>
    <row r="381" ht="15.75" customHeight="1">
      <c r="A381" s="170"/>
      <c r="B381" s="178"/>
      <c r="D381" s="172"/>
      <c r="K381" s="172"/>
      <c r="L381" s="173"/>
      <c r="M381" s="174"/>
      <c r="N381" s="175"/>
      <c r="V381" s="176"/>
    </row>
    <row r="382" ht="15.75" customHeight="1">
      <c r="A382" s="170"/>
      <c r="B382" s="178"/>
      <c r="D382" s="172"/>
      <c r="K382" s="172"/>
      <c r="L382" s="173"/>
      <c r="M382" s="174"/>
      <c r="N382" s="175"/>
      <c r="V382" s="176"/>
    </row>
    <row r="383" ht="15.75" customHeight="1">
      <c r="A383" s="170"/>
      <c r="B383" s="178"/>
      <c r="D383" s="172"/>
      <c r="K383" s="172"/>
      <c r="L383" s="173"/>
      <c r="M383" s="174"/>
      <c r="N383" s="175"/>
      <c r="V383" s="176"/>
    </row>
    <row r="384" ht="15.75" customHeight="1">
      <c r="A384" s="170"/>
      <c r="B384" s="178"/>
      <c r="D384" s="172"/>
      <c r="K384" s="172"/>
      <c r="L384" s="173"/>
      <c r="M384" s="174"/>
      <c r="N384" s="175"/>
      <c r="V384" s="176"/>
    </row>
    <row r="385" ht="15.75" customHeight="1">
      <c r="A385" s="170"/>
      <c r="B385" s="178"/>
      <c r="D385" s="172"/>
      <c r="K385" s="172"/>
      <c r="L385" s="173"/>
      <c r="M385" s="174"/>
      <c r="N385" s="175"/>
      <c r="V385" s="176"/>
    </row>
    <row r="386" ht="15.75" customHeight="1">
      <c r="A386" s="170"/>
      <c r="B386" s="178"/>
      <c r="D386" s="172"/>
      <c r="K386" s="172"/>
      <c r="L386" s="173"/>
      <c r="M386" s="174"/>
      <c r="N386" s="175"/>
      <c r="V386" s="176"/>
    </row>
    <row r="387" ht="15.75" customHeight="1">
      <c r="A387" s="170"/>
      <c r="B387" s="178"/>
      <c r="D387" s="172"/>
      <c r="K387" s="172"/>
      <c r="L387" s="173"/>
      <c r="M387" s="174"/>
      <c r="N387" s="175"/>
      <c r="V387" s="176"/>
    </row>
    <row r="388" ht="15.75" customHeight="1">
      <c r="A388" s="170"/>
      <c r="B388" s="178"/>
      <c r="D388" s="172"/>
      <c r="K388" s="172"/>
      <c r="L388" s="173"/>
      <c r="M388" s="174"/>
      <c r="N388" s="175"/>
      <c r="V388" s="176"/>
    </row>
    <row r="389" ht="15.75" customHeight="1">
      <c r="A389" s="170"/>
      <c r="B389" s="178"/>
      <c r="D389" s="172"/>
      <c r="K389" s="172"/>
      <c r="L389" s="173"/>
      <c r="M389" s="174"/>
      <c r="N389" s="175"/>
      <c r="V389" s="176"/>
    </row>
    <row r="390" ht="15.75" customHeight="1">
      <c r="A390" s="170"/>
      <c r="B390" s="178"/>
      <c r="D390" s="172"/>
      <c r="K390" s="172"/>
      <c r="L390" s="173"/>
      <c r="M390" s="174"/>
      <c r="N390" s="175"/>
      <c r="V390" s="176"/>
    </row>
    <row r="391" ht="15.75" customHeight="1">
      <c r="A391" s="170"/>
      <c r="B391" s="178"/>
      <c r="D391" s="172"/>
      <c r="K391" s="172"/>
      <c r="L391" s="173"/>
      <c r="M391" s="174"/>
      <c r="N391" s="175"/>
      <c r="V391" s="176"/>
    </row>
    <row r="392" ht="15.75" customHeight="1">
      <c r="A392" s="170"/>
      <c r="B392" s="178"/>
      <c r="D392" s="172"/>
      <c r="K392" s="172"/>
      <c r="L392" s="173"/>
      <c r="M392" s="174"/>
      <c r="N392" s="175"/>
      <c r="V392" s="176"/>
    </row>
    <row r="393" ht="15.75" customHeight="1">
      <c r="A393" s="170"/>
      <c r="B393" s="178"/>
      <c r="D393" s="172"/>
      <c r="K393" s="172"/>
      <c r="L393" s="173"/>
      <c r="M393" s="174"/>
      <c r="N393" s="175"/>
      <c r="V393" s="176"/>
    </row>
    <row r="394" ht="15.75" customHeight="1">
      <c r="A394" s="170"/>
      <c r="B394" s="178"/>
      <c r="D394" s="172"/>
      <c r="K394" s="172"/>
      <c r="L394" s="173"/>
      <c r="M394" s="174"/>
      <c r="N394" s="175"/>
      <c r="V394" s="176"/>
    </row>
    <row r="395" ht="15.75" customHeight="1">
      <c r="A395" s="170"/>
      <c r="B395" s="178"/>
      <c r="D395" s="172"/>
      <c r="K395" s="172"/>
      <c r="L395" s="173"/>
      <c r="M395" s="174"/>
      <c r="N395" s="175"/>
      <c r="V395" s="176"/>
    </row>
    <row r="396" ht="15.75" customHeight="1">
      <c r="A396" s="170"/>
      <c r="B396" s="178"/>
      <c r="D396" s="172"/>
      <c r="K396" s="172"/>
      <c r="L396" s="173"/>
      <c r="M396" s="174"/>
      <c r="N396" s="175"/>
      <c r="V396" s="176"/>
    </row>
    <row r="397" ht="15.75" customHeight="1">
      <c r="A397" s="170"/>
      <c r="B397" s="178"/>
      <c r="D397" s="172"/>
      <c r="K397" s="172"/>
      <c r="L397" s="173"/>
      <c r="M397" s="174"/>
      <c r="N397" s="175"/>
      <c r="V397" s="176"/>
    </row>
    <row r="398" ht="15.75" customHeight="1">
      <c r="A398" s="170"/>
      <c r="B398" s="178"/>
      <c r="D398" s="172"/>
      <c r="K398" s="172"/>
      <c r="L398" s="173"/>
      <c r="M398" s="174"/>
      <c r="N398" s="175"/>
      <c r="V398" s="176"/>
    </row>
    <row r="399" ht="15.75" customHeight="1">
      <c r="A399" s="170"/>
      <c r="B399" s="178"/>
      <c r="D399" s="172"/>
      <c r="K399" s="172"/>
      <c r="L399" s="173"/>
      <c r="M399" s="174"/>
      <c r="N399" s="175"/>
      <c r="V399" s="176"/>
    </row>
    <row r="400" ht="15.75" customHeight="1">
      <c r="A400" s="170"/>
      <c r="B400" s="178"/>
      <c r="D400" s="172"/>
      <c r="K400" s="172"/>
      <c r="L400" s="173"/>
      <c r="M400" s="174"/>
      <c r="N400" s="175"/>
      <c r="V400" s="176"/>
    </row>
    <row r="401" ht="15.75" customHeight="1">
      <c r="A401" s="170"/>
      <c r="B401" s="178"/>
      <c r="D401" s="172"/>
      <c r="K401" s="172"/>
      <c r="L401" s="173"/>
      <c r="M401" s="174"/>
      <c r="N401" s="175"/>
      <c r="V401" s="176"/>
    </row>
    <row r="402" ht="15.75" customHeight="1">
      <c r="A402" s="170"/>
      <c r="B402" s="178"/>
      <c r="D402" s="172"/>
      <c r="K402" s="172"/>
      <c r="L402" s="173"/>
      <c r="M402" s="174"/>
      <c r="N402" s="175"/>
      <c r="V402" s="176"/>
    </row>
    <row r="403" ht="15.75" customHeight="1">
      <c r="A403" s="170"/>
      <c r="B403" s="178"/>
      <c r="D403" s="172"/>
      <c r="K403" s="172"/>
      <c r="L403" s="173"/>
      <c r="M403" s="174"/>
      <c r="N403" s="175"/>
      <c r="V403" s="176"/>
    </row>
    <row r="404" ht="15.75" customHeight="1">
      <c r="A404" s="170"/>
      <c r="B404" s="178"/>
      <c r="D404" s="172"/>
      <c r="K404" s="172"/>
      <c r="L404" s="173"/>
      <c r="M404" s="174"/>
      <c r="N404" s="175"/>
      <c r="V404" s="176"/>
    </row>
    <row r="405" ht="15.75" customHeight="1">
      <c r="A405" s="170"/>
      <c r="B405" s="178"/>
      <c r="D405" s="172"/>
      <c r="K405" s="172"/>
      <c r="L405" s="173"/>
      <c r="M405" s="174"/>
      <c r="N405" s="175"/>
      <c r="V405" s="176"/>
    </row>
    <row r="406" ht="15.75" customHeight="1">
      <c r="A406" s="170"/>
      <c r="B406" s="178"/>
      <c r="D406" s="172"/>
      <c r="K406" s="172"/>
      <c r="L406" s="173"/>
      <c r="M406" s="174"/>
      <c r="N406" s="175"/>
      <c r="V406" s="176"/>
    </row>
    <row r="407" ht="15.75" customHeight="1">
      <c r="A407" s="170"/>
      <c r="B407" s="178"/>
      <c r="D407" s="172"/>
      <c r="K407" s="172"/>
      <c r="L407" s="173"/>
      <c r="M407" s="174"/>
      <c r="N407" s="175"/>
      <c r="V407" s="176"/>
    </row>
    <row r="408" ht="15.75" customHeight="1">
      <c r="A408" s="170"/>
      <c r="B408" s="178"/>
      <c r="D408" s="172"/>
      <c r="K408" s="172"/>
      <c r="L408" s="173"/>
      <c r="M408" s="174"/>
      <c r="N408" s="175"/>
      <c r="V408" s="176"/>
    </row>
    <row r="409" ht="15.75" customHeight="1">
      <c r="A409" s="170"/>
      <c r="B409" s="178"/>
      <c r="D409" s="172"/>
      <c r="K409" s="172"/>
      <c r="L409" s="173"/>
      <c r="M409" s="174"/>
      <c r="N409" s="175"/>
      <c r="V409" s="176"/>
    </row>
    <row r="410" ht="15.75" customHeight="1">
      <c r="A410" s="170"/>
      <c r="B410" s="178"/>
      <c r="D410" s="172"/>
      <c r="K410" s="172"/>
      <c r="L410" s="173"/>
      <c r="M410" s="174"/>
      <c r="N410" s="175"/>
      <c r="V410" s="176"/>
    </row>
    <row r="411" ht="15.75" customHeight="1">
      <c r="A411" s="170"/>
      <c r="B411" s="178"/>
      <c r="D411" s="172"/>
      <c r="K411" s="172"/>
      <c r="L411" s="173"/>
      <c r="M411" s="174"/>
      <c r="N411" s="175"/>
      <c r="V411" s="176"/>
    </row>
    <row r="412" ht="15.75" customHeight="1">
      <c r="A412" s="170"/>
      <c r="B412" s="178"/>
      <c r="D412" s="172"/>
      <c r="K412" s="172"/>
      <c r="L412" s="173"/>
      <c r="M412" s="174"/>
      <c r="N412" s="175"/>
      <c r="V412" s="176"/>
    </row>
    <row r="413" ht="15.75" customHeight="1">
      <c r="A413" s="170"/>
      <c r="B413" s="178"/>
      <c r="D413" s="172"/>
      <c r="K413" s="172"/>
      <c r="L413" s="173"/>
      <c r="M413" s="174"/>
      <c r="N413" s="175"/>
      <c r="V413" s="176"/>
    </row>
    <row r="414" ht="15.75" customHeight="1">
      <c r="A414" s="170"/>
      <c r="B414" s="178"/>
      <c r="D414" s="172"/>
      <c r="K414" s="172"/>
      <c r="L414" s="173"/>
      <c r="M414" s="174"/>
      <c r="N414" s="175"/>
      <c r="V414" s="176"/>
    </row>
    <row r="415" ht="15.75" customHeight="1">
      <c r="A415" s="170"/>
      <c r="B415" s="178"/>
      <c r="D415" s="172"/>
      <c r="K415" s="172"/>
      <c r="L415" s="173"/>
      <c r="M415" s="174"/>
      <c r="N415" s="175"/>
      <c r="V415" s="176"/>
    </row>
    <row r="416" ht="15.75" customHeight="1">
      <c r="A416" s="170"/>
      <c r="B416" s="178"/>
      <c r="D416" s="172"/>
      <c r="K416" s="172"/>
      <c r="L416" s="173"/>
      <c r="M416" s="174"/>
      <c r="N416" s="175"/>
      <c r="V416" s="176"/>
    </row>
    <row r="417" ht="15.75" customHeight="1">
      <c r="A417" s="170"/>
      <c r="B417" s="178"/>
      <c r="D417" s="172"/>
      <c r="K417" s="172"/>
      <c r="L417" s="173"/>
      <c r="M417" s="174"/>
      <c r="N417" s="175"/>
      <c r="V417" s="176"/>
    </row>
    <row r="418" ht="15.75" customHeight="1">
      <c r="A418" s="170"/>
      <c r="B418" s="178"/>
      <c r="D418" s="172"/>
      <c r="K418" s="172"/>
      <c r="L418" s="173"/>
      <c r="M418" s="174"/>
      <c r="N418" s="175"/>
      <c r="V418" s="176"/>
    </row>
    <row r="419" ht="15.75" customHeight="1">
      <c r="A419" s="170"/>
      <c r="B419" s="178"/>
      <c r="D419" s="172"/>
      <c r="K419" s="172"/>
      <c r="L419" s="173"/>
      <c r="M419" s="174"/>
      <c r="N419" s="175"/>
      <c r="V419" s="176"/>
    </row>
    <row r="420" ht="15.75" customHeight="1">
      <c r="A420" s="170"/>
      <c r="B420" s="178"/>
      <c r="D420" s="172"/>
      <c r="K420" s="172"/>
      <c r="L420" s="173"/>
      <c r="M420" s="174"/>
      <c r="N420" s="175"/>
      <c r="V420" s="176"/>
    </row>
    <row r="421" ht="15.75" customHeight="1">
      <c r="A421" s="170"/>
      <c r="B421" s="178"/>
      <c r="D421" s="172"/>
      <c r="K421" s="172"/>
      <c r="L421" s="173"/>
      <c r="M421" s="174"/>
      <c r="N421" s="175"/>
      <c r="V421" s="176"/>
    </row>
    <row r="422" ht="15.75" customHeight="1">
      <c r="A422" s="170"/>
      <c r="B422" s="178"/>
      <c r="D422" s="172"/>
      <c r="K422" s="172"/>
      <c r="L422" s="173"/>
      <c r="M422" s="174"/>
      <c r="N422" s="175"/>
      <c r="V422" s="176"/>
    </row>
    <row r="423" ht="15.75" customHeight="1">
      <c r="A423" s="170"/>
      <c r="B423" s="178"/>
      <c r="D423" s="172"/>
      <c r="K423" s="172"/>
      <c r="L423" s="173"/>
      <c r="M423" s="174"/>
      <c r="N423" s="175"/>
      <c r="V423" s="176"/>
    </row>
    <row r="424" ht="15.75" customHeight="1">
      <c r="A424" s="170"/>
      <c r="B424" s="178"/>
      <c r="D424" s="172"/>
      <c r="K424" s="172"/>
      <c r="L424" s="173"/>
      <c r="M424" s="174"/>
      <c r="N424" s="175"/>
      <c r="V424" s="176"/>
    </row>
    <row r="425" ht="15.75" customHeight="1">
      <c r="A425" s="170"/>
      <c r="B425" s="178"/>
      <c r="D425" s="172"/>
      <c r="K425" s="172"/>
      <c r="L425" s="173"/>
      <c r="M425" s="174"/>
      <c r="N425" s="175"/>
      <c r="V425" s="176"/>
    </row>
    <row r="426" ht="15.75" customHeight="1">
      <c r="A426" s="170"/>
      <c r="B426" s="178"/>
      <c r="D426" s="172"/>
      <c r="K426" s="172"/>
      <c r="L426" s="173"/>
      <c r="M426" s="174"/>
      <c r="N426" s="175"/>
      <c r="V426" s="176"/>
    </row>
    <row r="427" ht="15.75" customHeight="1">
      <c r="A427" s="170"/>
      <c r="B427" s="178"/>
      <c r="D427" s="172"/>
      <c r="K427" s="172"/>
      <c r="L427" s="173"/>
      <c r="M427" s="174"/>
      <c r="N427" s="175"/>
      <c r="V427" s="176"/>
    </row>
    <row r="428" ht="15.75" customHeight="1">
      <c r="A428" s="170"/>
      <c r="B428" s="178"/>
      <c r="D428" s="172"/>
      <c r="K428" s="172"/>
      <c r="L428" s="173"/>
      <c r="M428" s="174"/>
      <c r="N428" s="175"/>
      <c r="V428" s="176"/>
    </row>
    <row r="429" ht="15.75" customHeight="1">
      <c r="A429" s="170"/>
      <c r="B429" s="178"/>
      <c r="D429" s="172"/>
      <c r="K429" s="172"/>
      <c r="L429" s="173"/>
      <c r="M429" s="174"/>
      <c r="N429" s="175"/>
      <c r="V429" s="176"/>
    </row>
    <row r="430" ht="15.75" customHeight="1">
      <c r="A430" s="170"/>
      <c r="B430" s="178"/>
      <c r="D430" s="172"/>
      <c r="K430" s="172"/>
      <c r="L430" s="173"/>
      <c r="M430" s="174"/>
      <c r="N430" s="175"/>
      <c r="V430" s="176"/>
    </row>
    <row r="431" ht="15.75" customHeight="1">
      <c r="A431" s="170"/>
      <c r="B431" s="178"/>
      <c r="D431" s="172"/>
      <c r="K431" s="172"/>
      <c r="L431" s="173"/>
      <c r="M431" s="174"/>
      <c r="N431" s="175"/>
      <c r="V431" s="176"/>
    </row>
    <row r="432" ht="15.75" customHeight="1">
      <c r="A432" s="170"/>
      <c r="B432" s="178"/>
      <c r="D432" s="172"/>
      <c r="K432" s="172"/>
      <c r="L432" s="173"/>
      <c r="M432" s="174"/>
      <c r="N432" s="175"/>
      <c r="V432" s="176"/>
    </row>
    <row r="433" ht="15.75" customHeight="1">
      <c r="A433" s="170"/>
      <c r="B433" s="178"/>
      <c r="D433" s="172"/>
      <c r="K433" s="172"/>
      <c r="L433" s="173"/>
      <c r="M433" s="174"/>
      <c r="N433" s="175"/>
      <c r="V433" s="176"/>
    </row>
    <row r="434" ht="15.75" customHeight="1">
      <c r="A434" s="170"/>
      <c r="B434" s="178"/>
      <c r="D434" s="172"/>
      <c r="K434" s="172"/>
      <c r="L434" s="173"/>
      <c r="M434" s="174"/>
      <c r="N434" s="175"/>
      <c r="V434" s="176"/>
    </row>
    <row r="435" ht="15.75" customHeight="1">
      <c r="A435" s="170"/>
      <c r="B435" s="178"/>
      <c r="D435" s="172"/>
      <c r="K435" s="172"/>
      <c r="L435" s="173"/>
      <c r="M435" s="174"/>
      <c r="N435" s="175"/>
      <c r="V435" s="176"/>
    </row>
    <row r="436" ht="15.75" customHeight="1">
      <c r="A436" s="170"/>
      <c r="B436" s="178"/>
      <c r="D436" s="172"/>
      <c r="K436" s="172"/>
      <c r="L436" s="173"/>
      <c r="M436" s="174"/>
      <c r="N436" s="175"/>
      <c r="V436" s="176"/>
    </row>
    <row r="437" ht="15.75" customHeight="1">
      <c r="A437" s="170"/>
      <c r="B437" s="178"/>
      <c r="D437" s="172"/>
      <c r="K437" s="172"/>
      <c r="L437" s="173"/>
      <c r="M437" s="174"/>
      <c r="N437" s="175"/>
      <c r="V437" s="176"/>
    </row>
    <row r="438" ht="15.75" customHeight="1">
      <c r="A438" s="170"/>
      <c r="B438" s="178"/>
      <c r="D438" s="172"/>
      <c r="K438" s="172"/>
      <c r="L438" s="173"/>
      <c r="M438" s="174"/>
      <c r="N438" s="175"/>
      <c r="V438" s="176"/>
    </row>
    <row r="439" ht="15.75" customHeight="1">
      <c r="A439" s="170"/>
      <c r="B439" s="178"/>
      <c r="D439" s="172"/>
      <c r="K439" s="172"/>
      <c r="L439" s="173"/>
      <c r="M439" s="174"/>
      <c r="N439" s="175"/>
      <c r="V439" s="176"/>
    </row>
    <row r="440" ht="15.75" customHeight="1">
      <c r="A440" s="170"/>
      <c r="B440" s="178"/>
      <c r="D440" s="172"/>
      <c r="K440" s="172"/>
      <c r="L440" s="173"/>
      <c r="M440" s="174"/>
      <c r="N440" s="175"/>
      <c r="V440" s="176"/>
    </row>
    <row r="441" ht="15.75" customHeight="1">
      <c r="A441" s="170"/>
      <c r="B441" s="178"/>
      <c r="D441" s="172"/>
      <c r="K441" s="172"/>
      <c r="L441" s="173"/>
      <c r="M441" s="174"/>
      <c r="N441" s="175"/>
      <c r="V441" s="176"/>
    </row>
    <row r="442" ht="15.75" customHeight="1">
      <c r="A442" s="170"/>
      <c r="B442" s="178"/>
      <c r="D442" s="172"/>
      <c r="K442" s="172"/>
      <c r="L442" s="173"/>
      <c r="M442" s="174"/>
      <c r="N442" s="175"/>
      <c r="V442" s="176"/>
    </row>
    <row r="443" ht="15.75" customHeight="1">
      <c r="A443" s="170"/>
      <c r="B443" s="178"/>
      <c r="D443" s="172"/>
      <c r="K443" s="172"/>
      <c r="L443" s="173"/>
      <c r="M443" s="174"/>
      <c r="N443" s="175"/>
      <c r="V443" s="176"/>
    </row>
    <row r="444" ht="15.75" customHeight="1">
      <c r="A444" s="170"/>
      <c r="B444" s="178"/>
      <c r="D444" s="172"/>
      <c r="K444" s="172"/>
      <c r="L444" s="173"/>
      <c r="M444" s="174"/>
      <c r="N444" s="175"/>
      <c r="V444" s="176"/>
    </row>
    <row r="445" ht="15.75" customHeight="1">
      <c r="A445" s="170"/>
      <c r="B445" s="178"/>
      <c r="D445" s="172"/>
      <c r="K445" s="172"/>
      <c r="L445" s="173"/>
      <c r="M445" s="174"/>
      <c r="N445" s="175"/>
      <c r="V445" s="176"/>
    </row>
    <row r="446" ht="15.75" customHeight="1">
      <c r="A446" s="170"/>
      <c r="B446" s="178"/>
      <c r="D446" s="172"/>
      <c r="K446" s="172"/>
      <c r="L446" s="173"/>
      <c r="M446" s="174"/>
      <c r="N446" s="175"/>
      <c r="V446" s="176"/>
    </row>
    <row r="447" ht="15.75" customHeight="1">
      <c r="A447" s="170"/>
      <c r="B447" s="178"/>
      <c r="D447" s="172"/>
      <c r="K447" s="172"/>
      <c r="L447" s="173"/>
      <c r="M447" s="174"/>
      <c r="N447" s="175"/>
      <c r="V447" s="176"/>
    </row>
    <row r="448" ht="15.75" customHeight="1">
      <c r="A448" s="170"/>
      <c r="B448" s="178"/>
      <c r="D448" s="172"/>
      <c r="K448" s="172"/>
      <c r="L448" s="173"/>
      <c r="M448" s="174"/>
      <c r="N448" s="175"/>
      <c r="V448" s="176"/>
    </row>
    <row r="449" ht="15.75" customHeight="1">
      <c r="A449" s="170"/>
      <c r="B449" s="178"/>
      <c r="D449" s="172"/>
      <c r="K449" s="172"/>
      <c r="L449" s="173"/>
      <c r="M449" s="174"/>
      <c r="N449" s="175"/>
      <c r="V449" s="176"/>
    </row>
    <row r="450" ht="15.75" customHeight="1">
      <c r="A450" s="170"/>
      <c r="B450" s="178"/>
      <c r="D450" s="172"/>
      <c r="K450" s="172"/>
      <c r="L450" s="173"/>
      <c r="M450" s="174"/>
      <c r="N450" s="175"/>
      <c r="V450" s="176"/>
    </row>
    <row r="451" ht="15.75" customHeight="1">
      <c r="A451" s="170"/>
      <c r="B451" s="178"/>
      <c r="D451" s="172"/>
      <c r="K451" s="172"/>
      <c r="L451" s="173"/>
      <c r="M451" s="174"/>
      <c r="N451" s="175"/>
      <c r="V451" s="176"/>
    </row>
    <row r="452" ht="15.75" customHeight="1">
      <c r="A452" s="170"/>
      <c r="B452" s="178"/>
      <c r="D452" s="172"/>
      <c r="K452" s="172"/>
      <c r="L452" s="173"/>
      <c r="M452" s="174"/>
      <c r="N452" s="175"/>
      <c r="V452" s="176"/>
    </row>
    <row r="453" ht="15.75" customHeight="1">
      <c r="A453" s="170"/>
      <c r="B453" s="178"/>
      <c r="D453" s="172"/>
      <c r="K453" s="172"/>
      <c r="L453" s="173"/>
      <c r="M453" s="174"/>
      <c r="N453" s="175"/>
      <c r="V453" s="176"/>
    </row>
    <row r="454" ht="15.75" customHeight="1">
      <c r="A454" s="170"/>
      <c r="B454" s="178"/>
      <c r="D454" s="172"/>
      <c r="K454" s="172"/>
      <c r="L454" s="173"/>
      <c r="M454" s="174"/>
      <c r="N454" s="175"/>
      <c r="V454" s="176"/>
    </row>
    <row r="455" ht="15.75" customHeight="1">
      <c r="A455" s="170"/>
      <c r="B455" s="178"/>
      <c r="D455" s="172"/>
      <c r="K455" s="172"/>
      <c r="L455" s="173"/>
      <c r="M455" s="174"/>
      <c r="N455" s="175"/>
      <c r="V455" s="176"/>
    </row>
    <row r="456" ht="15.75" customHeight="1">
      <c r="A456" s="170"/>
      <c r="B456" s="178"/>
      <c r="D456" s="172"/>
      <c r="K456" s="172"/>
      <c r="L456" s="173"/>
      <c r="M456" s="174"/>
      <c r="N456" s="175"/>
      <c r="V456" s="176"/>
    </row>
    <row r="457" ht="15.75" customHeight="1">
      <c r="A457" s="170"/>
      <c r="B457" s="178"/>
      <c r="D457" s="172"/>
      <c r="K457" s="172"/>
      <c r="L457" s="173"/>
      <c r="M457" s="174"/>
      <c r="N457" s="175"/>
      <c r="V457" s="176"/>
    </row>
    <row r="458" ht="15.75" customHeight="1">
      <c r="A458" s="170"/>
      <c r="B458" s="178"/>
      <c r="D458" s="172"/>
      <c r="K458" s="172"/>
      <c r="L458" s="173"/>
      <c r="M458" s="174"/>
      <c r="N458" s="175"/>
      <c r="V458" s="176"/>
    </row>
    <row r="459" ht="15.75" customHeight="1">
      <c r="A459" s="170"/>
      <c r="B459" s="178"/>
      <c r="D459" s="172"/>
      <c r="K459" s="172"/>
      <c r="L459" s="173"/>
      <c r="M459" s="174"/>
      <c r="N459" s="175"/>
      <c r="V459" s="176"/>
    </row>
    <row r="460" ht="15.75" customHeight="1">
      <c r="A460" s="170"/>
      <c r="B460" s="178"/>
      <c r="D460" s="172"/>
      <c r="K460" s="172"/>
      <c r="L460" s="173"/>
      <c r="M460" s="174"/>
      <c r="N460" s="175"/>
      <c r="V460" s="176"/>
    </row>
    <row r="461" ht="15.75" customHeight="1">
      <c r="A461" s="170"/>
      <c r="B461" s="178"/>
      <c r="D461" s="172"/>
      <c r="K461" s="172"/>
      <c r="L461" s="173"/>
      <c r="M461" s="174"/>
      <c r="N461" s="175"/>
      <c r="V461" s="176"/>
    </row>
    <row r="462" ht="15.75" customHeight="1">
      <c r="A462" s="170"/>
      <c r="B462" s="178"/>
      <c r="D462" s="172"/>
      <c r="K462" s="172"/>
      <c r="L462" s="173"/>
      <c r="M462" s="174"/>
      <c r="N462" s="175"/>
      <c r="V462" s="176"/>
    </row>
    <row r="463" ht="15.75" customHeight="1">
      <c r="A463" s="170"/>
      <c r="B463" s="178"/>
      <c r="D463" s="172"/>
      <c r="K463" s="172"/>
      <c r="L463" s="173"/>
      <c r="M463" s="174"/>
      <c r="N463" s="175"/>
      <c r="V463" s="176"/>
    </row>
    <row r="464" ht="15.75" customHeight="1">
      <c r="A464" s="170"/>
      <c r="B464" s="178"/>
      <c r="D464" s="172"/>
      <c r="K464" s="172"/>
      <c r="L464" s="173"/>
      <c r="M464" s="174"/>
      <c r="N464" s="175"/>
      <c r="V464" s="176"/>
    </row>
    <row r="465" ht="15.75" customHeight="1">
      <c r="A465" s="170"/>
      <c r="B465" s="178"/>
      <c r="D465" s="172"/>
      <c r="K465" s="172"/>
      <c r="L465" s="173"/>
      <c r="M465" s="174"/>
      <c r="N465" s="175"/>
      <c r="V465" s="176"/>
    </row>
    <row r="466" ht="15.75" customHeight="1">
      <c r="A466" s="170"/>
      <c r="B466" s="178"/>
      <c r="D466" s="172"/>
      <c r="K466" s="172"/>
      <c r="L466" s="173"/>
      <c r="M466" s="174"/>
      <c r="N466" s="175"/>
      <c r="V466" s="176"/>
    </row>
    <row r="467" ht="15.75" customHeight="1">
      <c r="A467" s="170"/>
      <c r="B467" s="178"/>
      <c r="D467" s="172"/>
      <c r="K467" s="172"/>
      <c r="L467" s="173"/>
      <c r="M467" s="174"/>
      <c r="N467" s="175"/>
      <c r="V467" s="176"/>
    </row>
    <row r="468" ht="15.75" customHeight="1">
      <c r="A468" s="170"/>
      <c r="B468" s="178"/>
      <c r="D468" s="172"/>
      <c r="K468" s="172"/>
      <c r="L468" s="173"/>
      <c r="M468" s="174"/>
      <c r="N468" s="175"/>
      <c r="V468" s="176"/>
    </row>
    <row r="469" ht="15.75" customHeight="1">
      <c r="A469" s="170"/>
      <c r="B469" s="178"/>
      <c r="D469" s="172"/>
      <c r="K469" s="172"/>
      <c r="L469" s="173"/>
      <c r="M469" s="174"/>
      <c r="N469" s="175"/>
      <c r="V469" s="176"/>
    </row>
    <row r="470" ht="15.75" customHeight="1">
      <c r="A470" s="170"/>
      <c r="B470" s="178"/>
      <c r="D470" s="172"/>
      <c r="K470" s="172"/>
      <c r="L470" s="173"/>
      <c r="M470" s="174"/>
      <c r="N470" s="175"/>
      <c r="V470" s="176"/>
    </row>
    <row r="471" ht="15.75" customHeight="1">
      <c r="A471" s="170"/>
      <c r="B471" s="178"/>
      <c r="D471" s="172"/>
      <c r="K471" s="172"/>
      <c r="L471" s="173"/>
      <c r="M471" s="174"/>
      <c r="N471" s="175"/>
      <c r="V471" s="176"/>
    </row>
    <row r="472" ht="15.75" customHeight="1">
      <c r="A472" s="170"/>
      <c r="B472" s="178"/>
      <c r="D472" s="172"/>
      <c r="K472" s="172"/>
      <c r="L472" s="173"/>
      <c r="M472" s="174"/>
      <c r="N472" s="175"/>
      <c r="V472" s="176"/>
    </row>
    <row r="473" ht="15.75" customHeight="1">
      <c r="A473" s="170"/>
      <c r="B473" s="178"/>
      <c r="D473" s="172"/>
      <c r="K473" s="172"/>
      <c r="L473" s="173"/>
      <c r="M473" s="174"/>
      <c r="N473" s="175"/>
      <c r="V473" s="176"/>
    </row>
    <row r="474" ht="15.75" customHeight="1">
      <c r="A474" s="170"/>
      <c r="B474" s="178"/>
      <c r="D474" s="172"/>
      <c r="K474" s="172"/>
      <c r="L474" s="173"/>
      <c r="M474" s="174"/>
      <c r="N474" s="175"/>
      <c r="V474" s="176"/>
    </row>
    <row r="475" ht="15.75" customHeight="1">
      <c r="A475" s="170"/>
      <c r="B475" s="178"/>
      <c r="D475" s="172"/>
      <c r="K475" s="172"/>
      <c r="L475" s="173"/>
      <c r="M475" s="174"/>
      <c r="N475" s="175"/>
      <c r="V475" s="176"/>
    </row>
    <row r="476" ht="15.75" customHeight="1">
      <c r="A476" s="170"/>
      <c r="B476" s="178"/>
      <c r="D476" s="172"/>
      <c r="K476" s="172"/>
      <c r="L476" s="173"/>
      <c r="M476" s="174"/>
      <c r="N476" s="175"/>
      <c r="V476" s="176"/>
    </row>
    <row r="477" ht="15.75" customHeight="1">
      <c r="A477" s="170"/>
      <c r="B477" s="178"/>
      <c r="D477" s="172"/>
      <c r="K477" s="172"/>
      <c r="L477" s="173"/>
      <c r="M477" s="174"/>
      <c r="N477" s="175"/>
      <c r="V477" s="176"/>
    </row>
    <row r="478" ht="15.75" customHeight="1">
      <c r="A478" s="170"/>
      <c r="B478" s="178"/>
      <c r="D478" s="172"/>
      <c r="K478" s="172"/>
      <c r="L478" s="173"/>
      <c r="M478" s="174"/>
      <c r="N478" s="175"/>
      <c r="V478" s="176"/>
    </row>
    <row r="479" ht="15.75" customHeight="1">
      <c r="A479" s="170"/>
      <c r="B479" s="178"/>
      <c r="D479" s="172"/>
      <c r="K479" s="172"/>
      <c r="L479" s="173"/>
      <c r="M479" s="174"/>
      <c r="N479" s="175"/>
      <c r="V479" s="176"/>
    </row>
    <row r="480" ht="15.75" customHeight="1">
      <c r="A480" s="170"/>
      <c r="B480" s="178"/>
      <c r="D480" s="172"/>
      <c r="K480" s="172"/>
      <c r="L480" s="173"/>
      <c r="M480" s="174"/>
      <c r="N480" s="175"/>
      <c r="V480" s="176"/>
    </row>
    <row r="481" ht="15.75" customHeight="1">
      <c r="A481" s="170"/>
      <c r="B481" s="178"/>
      <c r="D481" s="172"/>
      <c r="K481" s="172"/>
      <c r="L481" s="173"/>
      <c r="M481" s="174"/>
      <c r="N481" s="175"/>
      <c r="V481" s="176"/>
    </row>
    <row r="482" ht="15.75" customHeight="1">
      <c r="A482" s="170"/>
      <c r="B482" s="178"/>
      <c r="D482" s="172"/>
      <c r="K482" s="172"/>
      <c r="L482" s="173"/>
      <c r="M482" s="174"/>
      <c r="N482" s="175"/>
      <c r="V482" s="176"/>
    </row>
    <row r="483" ht="15.75" customHeight="1">
      <c r="A483" s="170"/>
      <c r="B483" s="178"/>
      <c r="D483" s="172"/>
      <c r="K483" s="172"/>
      <c r="L483" s="173"/>
      <c r="M483" s="174"/>
      <c r="N483" s="175"/>
      <c r="V483" s="176"/>
    </row>
    <row r="484" ht="15.75" customHeight="1">
      <c r="A484" s="170"/>
      <c r="B484" s="178"/>
      <c r="D484" s="172"/>
      <c r="K484" s="172"/>
      <c r="L484" s="173"/>
      <c r="M484" s="174"/>
      <c r="N484" s="175"/>
      <c r="V484" s="176"/>
    </row>
    <row r="485" ht="15.75" customHeight="1">
      <c r="A485" s="170"/>
      <c r="B485" s="178"/>
      <c r="D485" s="172"/>
      <c r="K485" s="172"/>
      <c r="L485" s="173"/>
      <c r="M485" s="174"/>
      <c r="N485" s="175"/>
      <c r="V485" s="176"/>
    </row>
    <row r="486" ht="15.75" customHeight="1">
      <c r="A486" s="170"/>
      <c r="B486" s="178"/>
      <c r="D486" s="172"/>
      <c r="K486" s="172"/>
      <c r="L486" s="173"/>
      <c r="M486" s="174"/>
      <c r="N486" s="175"/>
      <c r="V486" s="176"/>
    </row>
    <row r="487" ht="15.75" customHeight="1">
      <c r="A487" s="170"/>
      <c r="B487" s="178"/>
      <c r="D487" s="172"/>
      <c r="K487" s="172"/>
      <c r="L487" s="173"/>
      <c r="M487" s="174"/>
      <c r="N487" s="175"/>
      <c r="V487" s="176"/>
    </row>
    <row r="488" ht="15.75" customHeight="1">
      <c r="A488" s="170"/>
      <c r="B488" s="178"/>
      <c r="D488" s="172"/>
      <c r="K488" s="172"/>
      <c r="L488" s="173"/>
      <c r="M488" s="174"/>
      <c r="N488" s="175"/>
      <c r="V488" s="176"/>
    </row>
    <row r="489" ht="15.75" customHeight="1">
      <c r="A489" s="170"/>
      <c r="B489" s="178"/>
      <c r="D489" s="172"/>
      <c r="K489" s="172"/>
      <c r="L489" s="173"/>
      <c r="M489" s="174"/>
      <c r="N489" s="175"/>
      <c r="V489" s="176"/>
    </row>
    <row r="490" ht="15.75" customHeight="1">
      <c r="A490" s="170"/>
      <c r="B490" s="178"/>
      <c r="D490" s="172"/>
      <c r="K490" s="172"/>
      <c r="L490" s="173"/>
      <c r="M490" s="174"/>
      <c r="N490" s="175"/>
      <c r="V490" s="176"/>
    </row>
    <row r="491" ht="15.75" customHeight="1">
      <c r="A491" s="170"/>
      <c r="B491" s="178"/>
      <c r="D491" s="172"/>
      <c r="K491" s="172"/>
      <c r="L491" s="173"/>
      <c r="M491" s="174"/>
      <c r="N491" s="175"/>
      <c r="V491" s="176"/>
    </row>
    <row r="492" ht="15.75" customHeight="1">
      <c r="A492" s="170"/>
      <c r="B492" s="178"/>
      <c r="D492" s="172"/>
      <c r="K492" s="172"/>
      <c r="L492" s="173"/>
      <c r="M492" s="174"/>
      <c r="N492" s="175"/>
      <c r="V492" s="176"/>
    </row>
    <row r="493" ht="15.75" customHeight="1">
      <c r="A493" s="170"/>
      <c r="B493" s="178"/>
      <c r="D493" s="172"/>
      <c r="K493" s="172"/>
      <c r="L493" s="173"/>
      <c r="M493" s="174"/>
      <c r="N493" s="175"/>
      <c r="V493" s="176"/>
    </row>
    <row r="494" ht="15.75" customHeight="1">
      <c r="A494" s="170"/>
      <c r="B494" s="178"/>
      <c r="D494" s="172"/>
      <c r="K494" s="172"/>
      <c r="L494" s="173"/>
      <c r="M494" s="174"/>
      <c r="N494" s="175"/>
      <c r="V494" s="176"/>
    </row>
    <row r="495" ht="15.75" customHeight="1">
      <c r="A495" s="170"/>
      <c r="B495" s="178"/>
      <c r="D495" s="172"/>
      <c r="K495" s="172"/>
      <c r="L495" s="173"/>
      <c r="M495" s="174"/>
      <c r="N495" s="175"/>
      <c r="V495" s="176"/>
    </row>
    <row r="496" ht="15.75" customHeight="1">
      <c r="A496" s="170"/>
      <c r="B496" s="178"/>
      <c r="D496" s="172"/>
      <c r="K496" s="172"/>
      <c r="L496" s="173"/>
      <c r="M496" s="174"/>
      <c r="N496" s="175"/>
      <c r="V496" s="176"/>
    </row>
    <row r="497" ht="15.75" customHeight="1">
      <c r="A497" s="170"/>
      <c r="B497" s="178"/>
      <c r="D497" s="172"/>
      <c r="K497" s="172"/>
      <c r="L497" s="173"/>
      <c r="M497" s="174"/>
      <c r="N497" s="175"/>
      <c r="V497" s="176"/>
    </row>
    <row r="498" ht="15.75" customHeight="1">
      <c r="A498" s="170"/>
      <c r="B498" s="178"/>
      <c r="D498" s="172"/>
      <c r="K498" s="172"/>
      <c r="L498" s="173"/>
      <c r="M498" s="174"/>
      <c r="N498" s="175"/>
      <c r="V498" s="176"/>
    </row>
    <row r="499" ht="15.75" customHeight="1">
      <c r="A499" s="170"/>
      <c r="B499" s="178"/>
      <c r="D499" s="172"/>
      <c r="K499" s="172"/>
      <c r="L499" s="173"/>
      <c r="M499" s="174"/>
      <c r="N499" s="175"/>
      <c r="V499" s="176"/>
    </row>
    <row r="500" ht="15.75" customHeight="1">
      <c r="A500" s="170"/>
      <c r="B500" s="178"/>
      <c r="D500" s="172"/>
      <c r="K500" s="172"/>
      <c r="L500" s="173"/>
      <c r="M500" s="174"/>
      <c r="N500" s="175"/>
      <c r="V500" s="176"/>
    </row>
    <row r="501" ht="15.75" customHeight="1">
      <c r="A501" s="170"/>
      <c r="B501" s="178"/>
      <c r="D501" s="172"/>
      <c r="K501" s="172"/>
      <c r="L501" s="173"/>
      <c r="M501" s="174"/>
      <c r="N501" s="175"/>
      <c r="V501" s="176"/>
    </row>
    <row r="502" ht="15.75" customHeight="1">
      <c r="A502" s="170"/>
      <c r="B502" s="178"/>
      <c r="D502" s="172"/>
      <c r="K502" s="172"/>
      <c r="L502" s="173"/>
      <c r="M502" s="174"/>
      <c r="N502" s="175"/>
      <c r="V502" s="176"/>
    </row>
    <row r="503" ht="15.75" customHeight="1">
      <c r="A503" s="170"/>
      <c r="B503" s="178"/>
      <c r="D503" s="172"/>
      <c r="K503" s="172"/>
      <c r="L503" s="173"/>
      <c r="M503" s="174"/>
      <c r="N503" s="175"/>
      <c r="V503" s="176"/>
    </row>
    <row r="504" ht="15.75" customHeight="1">
      <c r="A504" s="170"/>
      <c r="B504" s="178"/>
      <c r="D504" s="172"/>
      <c r="K504" s="172"/>
      <c r="L504" s="173"/>
      <c r="M504" s="174"/>
      <c r="N504" s="175"/>
      <c r="V504" s="176"/>
    </row>
    <row r="505" ht="15.75" customHeight="1">
      <c r="A505" s="170"/>
      <c r="B505" s="178"/>
      <c r="D505" s="172"/>
      <c r="K505" s="172"/>
      <c r="L505" s="173"/>
      <c r="M505" s="174"/>
      <c r="N505" s="175"/>
      <c r="V505" s="176"/>
    </row>
    <row r="506" ht="15.75" customHeight="1">
      <c r="A506" s="170"/>
      <c r="B506" s="178"/>
      <c r="D506" s="172"/>
      <c r="K506" s="172"/>
      <c r="L506" s="173"/>
      <c r="M506" s="174"/>
      <c r="N506" s="175"/>
      <c r="V506" s="176"/>
    </row>
    <row r="507" ht="15.75" customHeight="1">
      <c r="A507" s="170"/>
      <c r="B507" s="178"/>
      <c r="D507" s="172"/>
      <c r="K507" s="172"/>
      <c r="L507" s="173"/>
      <c r="M507" s="174"/>
      <c r="N507" s="175"/>
      <c r="V507" s="176"/>
    </row>
    <row r="508" ht="15.75" customHeight="1">
      <c r="A508" s="170"/>
      <c r="B508" s="178"/>
      <c r="D508" s="172"/>
      <c r="K508" s="172"/>
      <c r="L508" s="173"/>
      <c r="M508" s="174"/>
      <c r="N508" s="175"/>
      <c r="V508" s="176"/>
    </row>
    <row r="509" ht="15.75" customHeight="1">
      <c r="A509" s="170"/>
      <c r="B509" s="178"/>
      <c r="D509" s="172"/>
      <c r="K509" s="172"/>
      <c r="L509" s="173"/>
      <c r="M509" s="174"/>
      <c r="N509" s="175"/>
      <c r="V509" s="176"/>
    </row>
    <row r="510" ht="15.75" customHeight="1">
      <c r="A510" s="170"/>
      <c r="B510" s="178"/>
      <c r="D510" s="172"/>
      <c r="K510" s="172"/>
      <c r="L510" s="173"/>
      <c r="M510" s="174"/>
      <c r="N510" s="175"/>
      <c r="V510" s="176"/>
    </row>
    <row r="511" ht="15.75" customHeight="1">
      <c r="A511" s="170"/>
      <c r="B511" s="178"/>
      <c r="D511" s="172"/>
      <c r="K511" s="172"/>
      <c r="L511" s="173"/>
      <c r="M511" s="174"/>
      <c r="N511" s="175"/>
      <c r="V511" s="176"/>
    </row>
    <row r="512" ht="15.75" customHeight="1">
      <c r="A512" s="170"/>
      <c r="B512" s="178"/>
      <c r="D512" s="172"/>
      <c r="K512" s="172"/>
      <c r="L512" s="173"/>
      <c r="M512" s="174"/>
      <c r="N512" s="175"/>
      <c r="V512" s="176"/>
    </row>
    <row r="513" ht="15.75" customHeight="1">
      <c r="A513" s="170"/>
      <c r="B513" s="178"/>
      <c r="D513" s="172"/>
      <c r="K513" s="172"/>
      <c r="L513" s="173"/>
      <c r="M513" s="174"/>
      <c r="N513" s="175"/>
      <c r="V513" s="176"/>
    </row>
    <row r="514" ht="15.75" customHeight="1">
      <c r="A514" s="170"/>
      <c r="B514" s="178"/>
      <c r="D514" s="172"/>
      <c r="K514" s="172"/>
      <c r="L514" s="173"/>
      <c r="M514" s="174"/>
      <c r="N514" s="175"/>
      <c r="V514" s="176"/>
    </row>
    <row r="515" ht="15.75" customHeight="1">
      <c r="A515" s="170"/>
      <c r="B515" s="178"/>
      <c r="D515" s="172"/>
      <c r="K515" s="172"/>
      <c r="L515" s="173"/>
      <c r="M515" s="174"/>
      <c r="N515" s="175"/>
      <c r="V515" s="176"/>
    </row>
    <row r="516" ht="15.75" customHeight="1">
      <c r="A516" s="170"/>
      <c r="B516" s="178"/>
      <c r="D516" s="172"/>
      <c r="K516" s="172"/>
      <c r="L516" s="173"/>
      <c r="M516" s="174"/>
      <c r="N516" s="175"/>
      <c r="V516" s="176"/>
    </row>
    <row r="517" ht="15.75" customHeight="1">
      <c r="A517" s="170"/>
      <c r="B517" s="178"/>
      <c r="D517" s="172"/>
      <c r="K517" s="172"/>
      <c r="L517" s="173"/>
      <c r="M517" s="174"/>
      <c r="N517" s="175"/>
      <c r="V517" s="176"/>
    </row>
    <row r="518" ht="15.75" customHeight="1">
      <c r="A518" s="170"/>
      <c r="B518" s="178"/>
      <c r="D518" s="172"/>
      <c r="K518" s="172"/>
      <c r="L518" s="173"/>
      <c r="M518" s="174"/>
      <c r="N518" s="175"/>
      <c r="V518" s="176"/>
    </row>
    <row r="519" ht="15.75" customHeight="1">
      <c r="A519" s="170"/>
      <c r="B519" s="178"/>
      <c r="D519" s="172"/>
      <c r="K519" s="172"/>
      <c r="L519" s="173"/>
      <c r="M519" s="174"/>
      <c r="N519" s="175"/>
      <c r="V519" s="176"/>
    </row>
    <row r="520" ht="15.75" customHeight="1">
      <c r="A520" s="170"/>
      <c r="B520" s="178"/>
      <c r="D520" s="172"/>
      <c r="K520" s="172"/>
      <c r="L520" s="173"/>
      <c r="M520" s="174"/>
      <c r="N520" s="175"/>
      <c r="V520" s="176"/>
    </row>
    <row r="521" ht="15.75" customHeight="1">
      <c r="A521" s="170"/>
      <c r="B521" s="178"/>
      <c r="D521" s="172"/>
      <c r="K521" s="172"/>
      <c r="L521" s="173"/>
      <c r="M521" s="174"/>
      <c r="N521" s="175"/>
      <c r="V521" s="176"/>
    </row>
    <row r="522" ht="15.75" customHeight="1">
      <c r="A522" s="170"/>
      <c r="B522" s="178"/>
      <c r="D522" s="172"/>
      <c r="K522" s="172"/>
      <c r="L522" s="173"/>
      <c r="M522" s="174"/>
      <c r="N522" s="175"/>
      <c r="V522" s="176"/>
    </row>
    <row r="523" ht="15.75" customHeight="1">
      <c r="A523" s="170"/>
      <c r="B523" s="178"/>
      <c r="D523" s="172"/>
      <c r="K523" s="172"/>
      <c r="L523" s="173"/>
      <c r="M523" s="174"/>
      <c r="N523" s="175"/>
      <c r="V523" s="176"/>
    </row>
    <row r="524" ht="15.75" customHeight="1">
      <c r="A524" s="170"/>
      <c r="B524" s="178"/>
      <c r="D524" s="172"/>
      <c r="K524" s="172"/>
      <c r="L524" s="173"/>
      <c r="M524" s="174"/>
      <c r="N524" s="175"/>
      <c r="V524" s="176"/>
    </row>
    <row r="525" ht="15.75" customHeight="1">
      <c r="A525" s="170"/>
      <c r="B525" s="178"/>
      <c r="D525" s="172"/>
      <c r="K525" s="172"/>
      <c r="L525" s="173"/>
      <c r="M525" s="174"/>
      <c r="N525" s="175"/>
      <c r="V525" s="176"/>
    </row>
    <row r="526" ht="15.75" customHeight="1">
      <c r="A526" s="170"/>
      <c r="B526" s="178"/>
      <c r="D526" s="172"/>
      <c r="K526" s="172"/>
      <c r="L526" s="173"/>
      <c r="M526" s="174"/>
      <c r="N526" s="175"/>
      <c r="V526" s="176"/>
    </row>
    <row r="527" ht="15.75" customHeight="1">
      <c r="A527" s="170"/>
      <c r="B527" s="178"/>
      <c r="D527" s="172"/>
      <c r="K527" s="172"/>
      <c r="L527" s="173"/>
      <c r="M527" s="174"/>
      <c r="N527" s="175"/>
      <c r="V527" s="176"/>
    </row>
    <row r="528" ht="15.75" customHeight="1">
      <c r="A528" s="170"/>
      <c r="B528" s="178"/>
      <c r="D528" s="172"/>
      <c r="K528" s="172"/>
      <c r="L528" s="173"/>
      <c r="M528" s="174"/>
      <c r="N528" s="175"/>
      <c r="V528" s="176"/>
    </row>
    <row r="529" ht="15.75" customHeight="1">
      <c r="A529" s="170"/>
      <c r="B529" s="178"/>
      <c r="D529" s="172"/>
      <c r="K529" s="172"/>
      <c r="L529" s="173"/>
      <c r="M529" s="174"/>
      <c r="N529" s="175"/>
      <c r="V529" s="176"/>
    </row>
    <row r="530" ht="15.75" customHeight="1">
      <c r="A530" s="170"/>
      <c r="B530" s="178"/>
      <c r="D530" s="172"/>
      <c r="K530" s="172"/>
      <c r="L530" s="173"/>
      <c r="M530" s="174"/>
      <c r="N530" s="175"/>
      <c r="V530" s="176"/>
    </row>
    <row r="531" ht="15.75" customHeight="1">
      <c r="A531" s="170"/>
      <c r="B531" s="178"/>
      <c r="D531" s="172"/>
      <c r="K531" s="172"/>
      <c r="L531" s="173"/>
      <c r="M531" s="174"/>
      <c r="N531" s="175"/>
      <c r="V531" s="176"/>
    </row>
    <row r="532" ht="15.75" customHeight="1">
      <c r="A532" s="170"/>
      <c r="B532" s="178"/>
      <c r="D532" s="172"/>
      <c r="K532" s="172"/>
      <c r="L532" s="173"/>
      <c r="M532" s="174"/>
      <c r="N532" s="175"/>
      <c r="V532" s="176"/>
    </row>
    <row r="533" ht="15.75" customHeight="1">
      <c r="A533" s="170"/>
      <c r="B533" s="178"/>
      <c r="D533" s="172"/>
      <c r="K533" s="172"/>
      <c r="L533" s="173"/>
      <c r="M533" s="174"/>
      <c r="N533" s="175"/>
      <c r="V533" s="176"/>
    </row>
    <row r="534" ht="15.75" customHeight="1">
      <c r="A534" s="170"/>
      <c r="B534" s="178"/>
      <c r="D534" s="172"/>
      <c r="K534" s="172"/>
      <c r="L534" s="173"/>
      <c r="M534" s="174"/>
      <c r="N534" s="175"/>
      <c r="V534" s="176"/>
    </row>
    <row r="535" ht="15.75" customHeight="1">
      <c r="A535" s="170"/>
      <c r="B535" s="178"/>
      <c r="D535" s="172"/>
      <c r="K535" s="172"/>
      <c r="L535" s="173"/>
      <c r="M535" s="174"/>
      <c r="N535" s="175"/>
      <c r="V535" s="176"/>
    </row>
    <row r="536" ht="15.75" customHeight="1">
      <c r="A536" s="170"/>
      <c r="B536" s="178"/>
      <c r="D536" s="172"/>
      <c r="K536" s="172"/>
      <c r="L536" s="173"/>
      <c r="M536" s="174"/>
      <c r="N536" s="175"/>
      <c r="V536" s="176"/>
    </row>
    <row r="537" ht="15.75" customHeight="1">
      <c r="A537" s="170"/>
      <c r="B537" s="178"/>
      <c r="D537" s="172"/>
      <c r="K537" s="172"/>
      <c r="L537" s="173"/>
      <c r="M537" s="174"/>
      <c r="N537" s="175"/>
      <c r="V537" s="176"/>
    </row>
    <row r="538" ht="15.75" customHeight="1">
      <c r="A538" s="170"/>
      <c r="B538" s="178"/>
      <c r="D538" s="172"/>
      <c r="K538" s="172"/>
      <c r="L538" s="173"/>
      <c r="M538" s="174"/>
      <c r="N538" s="175"/>
      <c r="V538" s="176"/>
    </row>
    <row r="539" ht="15.75" customHeight="1">
      <c r="A539" s="170"/>
      <c r="B539" s="178"/>
      <c r="D539" s="172"/>
      <c r="K539" s="172"/>
      <c r="L539" s="173"/>
      <c r="M539" s="174"/>
      <c r="N539" s="175"/>
      <c r="V539" s="176"/>
    </row>
    <row r="540" ht="15.75" customHeight="1">
      <c r="A540" s="170"/>
      <c r="B540" s="178"/>
      <c r="D540" s="172"/>
      <c r="K540" s="172"/>
      <c r="L540" s="173"/>
      <c r="M540" s="174"/>
      <c r="N540" s="175"/>
      <c r="V540" s="176"/>
    </row>
    <row r="541" ht="15.75" customHeight="1">
      <c r="A541" s="170"/>
      <c r="B541" s="178"/>
      <c r="D541" s="172"/>
      <c r="K541" s="172"/>
      <c r="L541" s="173"/>
      <c r="M541" s="174"/>
      <c r="N541" s="175"/>
      <c r="V541" s="176"/>
    </row>
    <row r="542" ht="15.75" customHeight="1">
      <c r="A542" s="170"/>
      <c r="B542" s="178"/>
      <c r="D542" s="172"/>
      <c r="K542" s="172"/>
      <c r="L542" s="173"/>
      <c r="M542" s="174"/>
      <c r="N542" s="175"/>
      <c r="V542" s="176"/>
    </row>
    <row r="543" ht="15.75" customHeight="1">
      <c r="A543" s="170"/>
      <c r="B543" s="178"/>
      <c r="D543" s="172"/>
      <c r="K543" s="172"/>
      <c r="L543" s="173"/>
      <c r="M543" s="174"/>
      <c r="N543" s="175"/>
      <c r="V543" s="176"/>
    </row>
    <row r="544" ht="15.75" customHeight="1">
      <c r="A544" s="170"/>
      <c r="B544" s="178"/>
      <c r="D544" s="172"/>
      <c r="K544" s="172"/>
      <c r="L544" s="173"/>
      <c r="M544" s="174"/>
      <c r="N544" s="175"/>
      <c r="V544" s="176"/>
    </row>
    <row r="545" ht="15.75" customHeight="1">
      <c r="A545" s="170"/>
      <c r="B545" s="178"/>
      <c r="D545" s="172"/>
      <c r="K545" s="172"/>
      <c r="L545" s="173"/>
      <c r="M545" s="174"/>
      <c r="N545" s="175"/>
      <c r="V545" s="176"/>
    </row>
    <row r="546" ht="15.75" customHeight="1">
      <c r="A546" s="170"/>
      <c r="B546" s="178"/>
      <c r="D546" s="172"/>
      <c r="K546" s="172"/>
      <c r="L546" s="173"/>
      <c r="M546" s="174"/>
      <c r="N546" s="175"/>
      <c r="V546" s="176"/>
    </row>
    <row r="547" ht="15.75" customHeight="1">
      <c r="A547" s="170"/>
      <c r="B547" s="178"/>
      <c r="D547" s="172"/>
      <c r="K547" s="172"/>
      <c r="L547" s="173"/>
      <c r="M547" s="174"/>
      <c r="N547" s="175"/>
      <c r="V547" s="176"/>
    </row>
    <row r="548" ht="15.75" customHeight="1">
      <c r="A548" s="170"/>
      <c r="B548" s="178"/>
      <c r="D548" s="172"/>
      <c r="K548" s="172"/>
      <c r="L548" s="173"/>
      <c r="M548" s="174"/>
      <c r="N548" s="175"/>
      <c r="V548" s="176"/>
    </row>
    <row r="549" ht="15.75" customHeight="1">
      <c r="A549" s="170"/>
      <c r="B549" s="178"/>
      <c r="D549" s="172"/>
      <c r="K549" s="172"/>
      <c r="L549" s="173"/>
      <c r="M549" s="174"/>
      <c r="N549" s="175"/>
      <c r="V549" s="176"/>
    </row>
    <row r="550" ht="15.75" customHeight="1">
      <c r="A550" s="170"/>
      <c r="B550" s="178"/>
      <c r="D550" s="172"/>
      <c r="K550" s="172"/>
      <c r="L550" s="173"/>
      <c r="M550" s="174"/>
      <c r="N550" s="175"/>
      <c r="V550" s="176"/>
    </row>
    <row r="551" ht="15.75" customHeight="1">
      <c r="A551" s="170"/>
      <c r="B551" s="178"/>
      <c r="D551" s="172"/>
      <c r="K551" s="172"/>
      <c r="L551" s="173"/>
      <c r="M551" s="174"/>
      <c r="N551" s="175"/>
      <c r="V551" s="176"/>
    </row>
    <row r="552" ht="15.75" customHeight="1">
      <c r="A552" s="170"/>
      <c r="B552" s="178"/>
      <c r="D552" s="172"/>
      <c r="K552" s="172"/>
      <c r="L552" s="173"/>
      <c r="M552" s="174"/>
      <c r="N552" s="175"/>
      <c r="V552" s="176"/>
    </row>
    <row r="553" ht="15.75" customHeight="1">
      <c r="A553" s="170"/>
      <c r="B553" s="178"/>
      <c r="D553" s="172"/>
      <c r="K553" s="172"/>
      <c r="L553" s="173"/>
      <c r="M553" s="174"/>
      <c r="N553" s="175"/>
      <c r="V553" s="176"/>
    </row>
    <row r="554" ht="15.75" customHeight="1">
      <c r="A554" s="170"/>
      <c r="B554" s="178"/>
      <c r="D554" s="172"/>
      <c r="K554" s="172"/>
      <c r="L554" s="173"/>
      <c r="M554" s="174"/>
      <c r="N554" s="175"/>
      <c r="V554" s="176"/>
    </row>
    <row r="555" ht="15.75" customHeight="1">
      <c r="A555" s="170"/>
      <c r="B555" s="178"/>
      <c r="D555" s="172"/>
      <c r="K555" s="172"/>
      <c r="L555" s="173"/>
      <c r="M555" s="174"/>
      <c r="N555" s="175"/>
      <c r="V555" s="176"/>
    </row>
    <row r="556" ht="15.75" customHeight="1">
      <c r="A556" s="170"/>
      <c r="B556" s="178"/>
      <c r="D556" s="172"/>
      <c r="K556" s="172"/>
      <c r="L556" s="173"/>
      <c r="M556" s="174"/>
      <c r="N556" s="175"/>
      <c r="V556" s="176"/>
    </row>
    <row r="557" ht="15.75" customHeight="1">
      <c r="A557" s="170"/>
      <c r="B557" s="178"/>
      <c r="D557" s="172"/>
      <c r="K557" s="172"/>
      <c r="L557" s="173"/>
      <c r="M557" s="174"/>
      <c r="N557" s="175"/>
      <c r="V557" s="176"/>
    </row>
    <row r="558" ht="15.75" customHeight="1">
      <c r="A558" s="170"/>
      <c r="B558" s="178"/>
      <c r="D558" s="172"/>
      <c r="K558" s="172"/>
      <c r="L558" s="173"/>
      <c r="M558" s="174"/>
      <c r="N558" s="175"/>
      <c r="V558" s="176"/>
    </row>
    <row r="559" ht="15.75" customHeight="1">
      <c r="A559" s="170"/>
      <c r="B559" s="178"/>
      <c r="D559" s="172"/>
      <c r="K559" s="172"/>
      <c r="L559" s="173"/>
      <c r="M559" s="174"/>
      <c r="N559" s="175"/>
      <c r="V559" s="176"/>
    </row>
    <row r="560" ht="15.75" customHeight="1">
      <c r="A560" s="170"/>
      <c r="B560" s="178"/>
      <c r="D560" s="172"/>
      <c r="K560" s="172"/>
      <c r="L560" s="173"/>
      <c r="M560" s="174"/>
      <c r="N560" s="175"/>
      <c r="V560" s="176"/>
    </row>
    <row r="561" ht="15.75" customHeight="1">
      <c r="A561" s="170"/>
      <c r="B561" s="178"/>
      <c r="D561" s="172"/>
      <c r="K561" s="172"/>
      <c r="L561" s="173"/>
      <c r="M561" s="174"/>
      <c r="N561" s="175"/>
      <c r="V561" s="176"/>
    </row>
    <row r="562" ht="15.75" customHeight="1">
      <c r="A562" s="170"/>
      <c r="B562" s="178"/>
      <c r="D562" s="172"/>
      <c r="K562" s="172"/>
      <c r="L562" s="173"/>
      <c r="M562" s="174"/>
      <c r="N562" s="175"/>
      <c r="V562" s="176"/>
    </row>
    <row r="563" ht="15.75" customHeight="1">
      <c r="A563" s="170"/>
      <c r="B563" s="178"/>
      <c r="D563" s="172"/>
      <c r="K563" s="172"/>
      <c r="L563" s="173"/>
      <c r="M563" s="174"/>
      <c r="N563" s="175"/>
      <c r="V563" s="176"/>
    </row>
    <row r="564" ht="15.75" customHeight="1">
      <c r="A564" s="170"/>
      <c r="B564" s="178"/>
      <c r="D564" s="172"/>
      <c r="K564" s="172"/>
      <c r="L564" s="173"/>
      <c r="M564" s="174"/>
      <c r="N564" s="175"/>
      <c r="V564" s="176"/>
    </row>
    <row r="565" ht="15.75" customHeight="1">
      <c r="A565" s="170"/>
      <c r="B565" s="178"/>
      <c r="D565" s="172"/>
      <c r="K565" s="172"/>
      <c r="L565" s="173"/>
      <c r="M565" s="174"/>
      <c r="N565" s="175"/>
      <c r="V565" s="176"/>
    </row>
    <row r="566" ht="15.75" customHeight="1">
      <c r="A566" s="170"/>
      <c r="B566" s="178"/>
      <c r="D566" s="172"/>
      <c r="K566" s="172"/>
      <c r="L566" s="173"/>
      <c r="M566" s="174"/>
      <c r="N566" s="175"/>
      <c r="V566" s="176"/>
    </row>
    <row r="567" ht="15.75" customHeight="1">
      <c r="A567" s="170"/>
      <c r="B567" s="178"/>
      <c r="D567" s="172"/>
      <c r="K567" s="172"/>
      <c r="L567" s="173"/>
      <c r="M567" s="174"/>
      <c r="N567" s="175"/>
      <c r="V567" s="176"/>
    </row>
    <row r="568" ht="15.75" customHeight="1">
      <c r="A568" s="170"/>
      <c r="B568" s="178"/>
      <c r="D568" s="172"/>
      <c r="K568" s="172"/>
      <c r="L568" s="173"/>
      <c r="M568" s="174"/>
      <c r="N568" s="175"/>
      <c r="V568" s="176"/>
    </row>
    <row r="569" ht="15.75" customHeight="1">
      <c r="A569" s="170"/>
      <c r="B569" s="178"/>
      <c r="D569" s="172"/>
      <c r="K569" s="172"/>
      <c r="L569" s="173"/>
      <c r="M569" s="174"/>
      <c r="N569" s="175"/>
      <c r="V569" s="176"/>
    </row>
    <row r="570" ht="15.75" customHeight="1">
      <c r="A570" s="170"/>
      <c r="B570" s="178"/>
      <c r="D570" s="172"/>
      <c r="K570" s="172"/>
      <c r="L570" s="173"/>
      <c r="M570" s="174"/>
      <c r="N570" s="175"/>
      <c r="V570" s="176"/>
    </row>
    <row r="571" ht="15.75" customHeight="1">
      <c r="A571" s="170"/>
      <c r="B571" s="178"/>
      <c r="D571" s="172"/>
      <c r="K571" s="172"/>
      <c r="L571" s="173"/>
      <c r="M571" s="174"/>
      <c r="N571" s="175"/>
      <c r="V571" s="176"/>
    </row>
    <row r="572" ht="15.75" customHeight="1">
      <c r="A572" s="170"/>
      <c r="B572" s="178"/>
      <c r="D572" s="172"/>
      <c r="K572" s="172"/>
      <c r="L572" s="173"/>
      <c r="M572" s="174"/>
      <c r="N572" s="175"/>
      <c r="V572" s="176"/>
    </row>
    <row r="573" ht="15.75" customHeight="1">
      <c r="A573" s="170"/>
      <c r="B573" s="178"/>
      <c r="D573" s="172"/>
      <c r="K573" s="172"/>
      <c r="L573" s="173"/>
      <c r="M573" s="174"/>
      <c r="N573" s="175"/>
      <c r="V573" s="176"/>
    </row>
    <row r="574" ht="15.75" customHeight="1">
      <c r="A574" s="170"/>
      <c r="B574" s="178"/>
      <c r="D574" s="172"/>
      <c r="K574" s="172"/>
      <c r="L574" s="173"/>
      <c r="M574" s="174"/>
      <c r="N574" s="175"/>
      <c r="V574" s="176"/>
    </row>
    <row r="575" ht="15.75" customHeight="1">
      <c r="A575" s="170"/>
      <c r="B575" s="178"/>
      <c r="D575" s="172"/>
      <c r="K575" s="172"/>
      <c r="L575" s="173"/>
      <c r="M575" s="174"/>
      <c r="N575" s="175"/>
      <c r="V575" s="176"/>
    </row>
    <row r="576" ht="15.75" customHeight="1">
      <c r="A576" s="170"/>
      <c r="B576" s="178"/>
      <c r="D576" s="172"/>
      <c r="K576" s="172"/>
      <c r="L576" s="173"/>
      <c r="M576" s="174"/>
      <c r="N576" s="175"/>
      <c r="V576" s="176"/>
    </row>
    <row r="577" ht="15.75" customHeight="1">
      <c r="A577" s="170"/>
      <c r="B577" s="178"/>
      <c r="D577" s="172"/>
      <c r="K577" s="172"/>
      <c r="L577" s="173"/>
      <c r="M577" s="174"/>
      <c r="N577" s="175"/>
      <c r="V577" s="176"/>
    </row>
    <row r="578" ht="15.75" customHeight="1">
      <c r="A578" s="170"/>
      <c r="B578" s="178"/>
      <c r="D578" s="172"/>
      <c r="K578" s="172"/>
      <c r="L578" s="173"/>
      <c r="M578" s="174"/>
      <c r="N578" s="175"/>
      <c r="V578" s="176"/>
    </row>
    <row r="579" ht="15.75" customHeight="1">
      <c r="A579" s="170"/>
      <c r="B579" s="178"/>
      <c r="D579" s="172"/>
      <c r="K579" s="172"/>
      <c r="L579" s="173"/>
      <c r="M579" s="174"/>
      <c r="N579" s="175"/>
      <c r="V579" s="176"/>
    </row>
    <row r="580" ht="15.75" customHeight="1">
      <c r="A580" s="170"/>
      <c r="B580" s="178"/>
      <c r="D580" s="172"/>
      <c r="K580" s="172"/>
      <c r="L580" s="173"/>
      <c r="M580" s="174"/>
      <c r="N580" s="175"/>
      <c r="V580" s="176"/>
    </row>
    <row r="581" ht="15.75" customHeight="1">
      <c r="A581" s="170"/>
      <c r="B581" s="178"/>
      <c r="D581" s="172"/>
      <c r="K581" s="172"/>
      <c r="L581" s="173"/>
      <c r="M581" s="174"/>
      <c r="N581" s="175"/>
      <c r="V581" s="176"/>
    </row>
    <row r="582" ht="15.75" customHeight="1">
      <c r="A582" s="170"/>
      <c r="B582" s="178"/>
      <c r="D582" s="172"/>
      <c r="K582" s="172"/>
      <c r="L582" s="173"/>
      <c r="M582" s="174"/>
      <c r="N582" s="175"/>
      <c r="V582" s="176"/>
    </row>
    <row r="583" ht="15.75" customHeight="1">
      <c r="A583" s="170"/>
      <c r="B583" s="178"/>
      <c r="D583" s="172"/>
      <c r="K583" s="172"/>
      <c r="L583" s="173"/>
      <c r="M583" s="174"/>
      <c r="N583" s="175"/>
      <c r="V583" s="176"/>
    </row>
    <row r="584" ht="15.75" customHeight="1">
      <c r="A584" s="170"/>
      <c r="B584" s="178"/>
      <c r="D584" s="172"/>
      <c r="K584" s="172"/>
      <c r="L584" s="173"/>
      <c r="M584" s="174"/>
      <c r="N584" s="175"/>
      <c r="V584" s="176"/>
    </row>
    <row r="585" ht="15.75" customHeight="1">
      <c r="A585" s="170"/>
      <c r="B585" s="178"/>
      <c r="D585" s="172"/>
      <c r="K585" s="172"/>
      <c r="L585" s="173"/>
      <c r="M585" s="174"/>
      <c r="N585" s="175"/>
      <c r="V585" s="176"/>
    </row>
    <row r="586" ht="15.75" customHeight="1">
      <c r="A586" s="170"/>
      <c r="B586" s="178"/>
      <c r="D586" s="172"/>
      <c r="K586" s="172"/>
      <c r="L586" s="173"/>
      <c r="M586" s="174"/>
      <c r="N586" s="175"/>
      <c r="V586" s="176"/>
    </row>
    <row r="587" ht="15.75" customHeight="1">
      <c r="A587" s="170"/>
      <c r="B587" s="178"/>
      <c r="D587" s="172"/>
      <c r="K587" s="172"/>
      <c r="L587" s="173"/>
      <c r="M587" s="174"/>
      <c r="N587" s="175"/>
      <c r="V587" s="176"/>
    </row>
    <row r="588" ht="15.75" customHeight="1">
      <c r="A588" s="170"/>
      <c r="B588" s="178"/>
      <c r="D588" s="172"/>
      <c r="K588" s="172"/>
      <c r="L588" s="173"/>
      <c r="M588" s="174"/>
      <c r="N588" s="175"/>
      <c r="V588" s="176"/>
    </row>
    <row r="589" ht="15.75" customHeight="1">
      <c r="A589" s="170"/>
      <c r="B589" s="178"/>
      <c r="D589" s="172"/>
      <c r="K589" s="172"/>
      <c r="L589" s="173"/>
      <c r="M589" s="174"/>
      <c r="N589" s="175"/>
      <c r="V589" s="176"/>
    </row>
    <row r="590" ht="15.75" customHeight="1">
      <c r="A590" s="170"/>
      <c r="B590" s="178"/>
      <c r="D590" s="172"/>
      <c r="K590" s="172"/>
      <c r="L590" s="173"/>
      <c r="M590" s="174"/>
      <c r="N590" s="175"/>
      <c r="V590" s="176"/>
    </row>
    <row r="591" ht="15.75" customHeight="1">
      <c r="A591" s="170"/>
      <c r="B591" s="178"/>
      <c r="D591" s="172"/>
      <c r="K591" s="172"/>
      <c r="L591" s="173"/>
      <c r="M591" s="174"/>
      <c r="N591" s="175"/>
      <c r="V591" s="176"/>
    </row>
    <row r="592" ht="15.75" customHeight="1">
      <c r="A592" s="170"/>
      <c r="B592" s="178"/>
      <c r="D592" s="172"/>
      <c r="K592" s="172"/>
      <c r="L592" s="173"/>
      <c r="M592" s="174"/>
      <c r="N592" s="175"/>
      <c r="V592" s="176"/>
    </row>
    <row r="593" ht="15.75" customHeight="1">
      <c r="A593" s="170"/>
      <c r="B593" s="178"/>
      <c r="D593" s="172"/>
      <c r="K593" s="172"/>
      <c r="L593" s="173"/>
      <c r="M593" s="174"/>
      <c r="N593" s="175"/>
      <c r="V593" s="176"/>
    </row>
    <row r="594" ht="15.75" customHeight="1">
      <c r="A594" s="170"/>
      <c r="B594" s="178"/>
      <c r="D594" s="172"/>
      <c r="K594" s="172"/>
      <c r="L594" s="173"/>
      <c r="M594" s="174"/>
      <c r="N594" s="175"/>
      <c r="V594" s="176"/>
    </row>
    <row r="595" ht="15.75" customHeight="1">
      <c r="A595" s="170"/>
      <c r="B595" s="178"/>
      <c r="D595" s="172"/>
      <c r="K595" s="172"/>
      <c r="L595" s="173"/>
      <c r="M595" s="174"/>
      <c r="N595" s="175"/>
      <c r="V595" s="176"/>
    </row>
    <row r="596" ht="15.75" customHeight="1">
      <c r="A596" s="170"/>
      <c r="B596" s="178"/>
      <c r="D596" s="172"/>
      <c r="K596" s="172"/>
      <c r="L596" s="173"/>
      <c r="M596" s="174"/>
      <c r="N596" s="175"/>
      <c r="V596" s="176"/>
    </row>
    <row r="597" ht="15.75" customHeight="1">
      <c r="A597" s="170"/>
      <c r="B597" s="178"/>
      <c r="D597" s="172"/>
      <c r="K597" s="172"/>
      <c r="L597" s="173"/>
      <c r="M597" s="174"/>
      <c r="N597" s="175"/>
      <c r="V597" s="176"/>
    </row>
    <row r="598" ht="15.75" customHeight="1">
      <c r="A598" s="170"/>
      <c r="B598" s="178"/>
      <c r="D598" s="172"/>
      <c r="K598" s="172"/>
      <c r="L598" s="173"/>
      <c r="M598" s="174"/>
      <c r="N598" s="175"/>
      <c r="V598" s="176"/>
    </row>
    <row r="599" ht="15.75" customHeight="1">
      <c r="A599" s="170"/>
      <c r="B599" s="178"/>
      <c r="D599" s="172"/>
      <c r="K599" s="172"/>
      <c r="L599" s="173"/>
      <c r="M599" s="174"/>
      <c r="N599" s="175"/>
      <c r="V599" s="176"/>
    </row>
    <row r="600" ht="15.75" customHeight="1">
      <c r="A600" s="170"/>
      <c r="B600" s="178"/>
      <c r="D600" s="172"/>
      <c r="K600" s="172"/>
      <c r="L600" s="173"/>
      <c r="M600" s="174"/>
      <c r="N600" s="175"/>
      <c r="V600" s="176"/>
    </row>
    <row r="601" ht="15.75" customHeight="1">
      <c r="A601" s="170"/>
      <c r="B601" s="178"/>
      <c r="D601" s="172"/>
      <c r="K601" s="172"/>
      <c r="L601" s="173"/>
      <c r="M601" s="174"/>
      <c r="N601" s="175"/>
      <c r="V601" s="176"/>
    </row>
    <row r="602" ht="15.75" customHeight="1">
      <c r="A602" s="170"/>
      <c r="B602" s="178"/>
      <c r="D602" s="172"/>
      <c r="K602" s="172"/>
      <c r="L602" s="173"/>
      <c r="M602" s="174"/>
      <c r="N602" s="175"/>
      <c r="V602" s="176"/>
    </row>
    <row r="603" ht="15.75" customHeight="1">
      <c r="A603" s="170"/>
      <c r="B603" s="178"/>
      <c r="D603" s="172"/>
      <c r="K603" s="172"/>
      <c r="L603" s="173"/>
      <c r="M603" s="174"/>
      <c r="N603" s="175"/>
      <c r="V603" s="176"/>
    </row>
    <row r="604" ht="15.75" customHeight="1">
      <c r="A604" s="170"/>
      <c r="B604" s="178"/>
      <c r="D604" s="172"/>
      <c r="K604" s="172"/>
      <c r="L604" s="173"/>
      <c r="M604" s="174"/>
      <c r="N604" s="175"/>
      <c r="V604" s="176"/>
    </row>
    <row r="605" ht="15.75" customHeight="1">
      <c r="A605" s="170"/>
      <c r="B605" s="178"/>
      <c r="D605" s="172"/>
      <c r="K605" s="172"/>
      <c r="L605" s="173"/>
      <c r="M605" s="174"/>
      <c r="N605" s="175"/>
      <c r="V605" s="176"/>
    </row>
    <row r="606" ht="15.75" customHeight="1">
      <c r="A606" s="170"/>
      <c r="B606" s="178"/>
      <c r="D606" s="172"/>
      <c r="K606" s="172"/>
      <c r="L606" s="173"/>
      <c r="M606" s="174"/>
      <c r="N606" s="175"/>
      <c r="V606" s="176"/>
    </row>
    <row r="607" ht="15.75" customHeight="1">
      <c r="A607" s="170"/>
      <c r="B607" s="178"/>
      <c r="D607" s="172"/>
      <c r="K607" s="172"/>
      <c r="L607" s="173"/>
      <c r="M607" s="174"/>
      <c r="N607" s="175"/>
      <c r="V607" s="176"/>
    </row>
    <row r="608" ht="15.75" customHeight="1">
      <c r="A608" s="170"/>
      <c r="B608" s="178"/>
      <c r="D608" s="172"/>
      <c r="K608" s="172"/>
      <c r="L608" s="173"/>
      <c r="M608" s="174"/>
      <c r="N608" s="175"/>
      <c r="V608" s="176"/>
    </row>
    <row r="609" ht="15.75" customHeight="1">
      <c r="A609" s="170"/>
      <c r="B609" s="178"/>
      <c r="D609" s="172"/>
      <c r="K609" s="172"/>
      <c r="L609" s="173"/>
      <c r="M609" s="174"/>
      <c r="N609" s="175"/>
      <c r="V609" s="176"/>
    </row>
    <row r="610" ht="15.75" customHeight="1">
      <c r="A610" s="170"/>
      <c r="B610" s="178"/>
      <c r="D610" s="172"/>
      <c r="K610" s="172"/>
      <c r="L610" s="173"/>
      <c r="M610" s="174"/>
      <c r="N610" s="175"/>
      <c r="V610" s="176"/>
    </row>
    <row r="611" ht="15.75" customHeight="1">
      <c r="A611" s="170"/>
      <c r="B611" s="178"/>
      <c r="D611" s="172"/>
      <c r="K611" s="172"/>
      <c r="L611" s="173"/>
      <c r="M611" s="174"/>
      <c r="N611" s="175"/>
      <c r="V611" s="176"/>
    </row>
    <row r="612" ht="15.75" customHeight="1">
      <c r="A612" s="170"/>
      <c r="B612" s="178"/>
      <c r="D612" s="172"/>
      <c r="K612" s="172"/>
      <c r="L612" s="173"/>
      <c r="M612" s="174"/>
      <c r="N612" s="175"/>
      <c r="V612" s="176"/>
    </row>
    <row r="613" ht="15.75" customHeight="1">
      <c r="A613" s="170"/>
      <c r="B613" s="178"/>
      <c r="D613" s="172"/>
      <c r="K613" s="172"/>
      <c r="L613" s="173"/>
      <c r="M613" s="174"/>
      <c r="N613" s="175"/>
      <c r="V613" s="176"/>
    </row>
    <row r="614" ht="15.75" customHeight="1">
      <c r="A614" s="170"/>
      <c r="B614" s="178"/>
      <c r="D614" s="172"/>
      <c r="K614" s="172"/>
      <c r="L614" s="173"/>
      <c r="M614" s="174"/>
      <c r="N614" s="175"/>
      <c r="V614" s="176"/>
    </row>
    <row r="615" ht="15.75" customHeight="1">
      <c r="A615" s="170"/>
      <c r="B615" s="178"/>
      <c r="D615" s="172"/>
      <c r="K615" s="172"/>
      <c r="L615" s="173"/>
      <c r="M615" s="174"/>
      <c r="N615" s="175"/>
      <c r="V615" s="176"/>
    </row>
    <row r="616" ht="15.75" customHeight="1">
      <c r="A616" s="170"/>
      <c r="B616" s="178"/>
      <c r="D616" s="172"/>
      <c r="K616" s="172"/>
      <c r="L616" s="173"/>
      <c r="M616" s="174"/>
      <c r="N616" s="175"/>
      <c r="V616" s="176"/>
    </row>
    <row r="617" ht="15.75" customHeight="1">
      <c r="A617" s="170"/>
      <c r="B617" s="178"/>
      <c r="D617" s="172"/>
      <c r="K617" s="172"/>
      <c r="L617" s="173"/>
      <c r="M617" s="174"/>
      <c r="N617" s="175"/>
      <c r="V617" s="176"/>
    </row>
    <row r="618" ht="15.75" customHeight="1">
      <c r="A618" s="170"/>
      <c r="B618" s="178"/>
      <c r="D618" s="172"/>
      <c r="K618" s="172"/>
      <c r="L618" s="173"/>
      <c r="M618" s="174"/>
      <c r="N618" s="175"/>
      <c r="V618" s="176"/>
    </row>
    <row r="619" ht="15.75" customHeight="1">
      <c r="A619" s="170"/>
      <c r="B619" s="178"/>
      <c r="D619" s="172"/>
      <c r="K619" s="172"/>
      <c r="L619" s="173"/>
      <c r="M619" s="174"/>
      <c r="N619" s="175"/>
      <c r="V619" s="176"/>
    </row>
    <row r="620" ht="15.75" customHeight="1">
      <c r="A620" s="170"/>
      <c r="B620" s="178"/>
      <c r="D620" s="172"/>
      <c r="K620" s="172"/>
      <c r="L620" s="173"/>
      <c r="M620" s="174"/>
      <c r="N620" s="175"/>
      <c r="V620" s="176"/>
    </row>
    <row r="621" ht="15.75" customHeight="1">
      <c r="A621" s="170"/>
      <c r="B621" s="178"/>
      <c r="D621" s="172"/>
      <c r="K621" s="172"/>
      <c r="L621" s="173"/>
      <c r="M621" s="174"/>
      <c r="N621" s="175"/>
      <c r="V621" s="176"/>
    </row>
    <row r="622" ht="15.75" customHeight="1">
      <c r="A622" s="170"/>
      <c r="B622" s="178"/>
      <c r="D622" s="172"/>
      <c r="K622" s="172"/>
      <c r="L622" s="173"/>
      <c r="M622" s="174"/>
      <c r="N622" s="175"/>
      <c r="V622" s="176"/>
    </row>
    <row r="623" ht="15.75" customHeight="1">
      <c r="A623" s="170"/>
      <c r="B623" s="178"/>
      <c r="D623" s="172"/>
      <c r="K623" s="172"/>
      <c r="L623" s="173"/>
      <c r="M623" s="174"/>
      <c r="N623" s="175"/>
      <c r="V623" s="176"/>
    </row>
    <row r="624" ht="15.75" customHeight="1">
      <c r="A624" s="170"/>
      <c r="B624" s="178"/>
      <c r="D624" s="172"/>
      <c r="K624" s="172"/>
      <c r="L624" s="173"/>
      <c r="M624" s="174"/>
      <c r="N624" s="175"/>
      <c r="V624" s="176"/>
    </row>
    <row r="625" ht="15.75" customHeight="1">
      <c r="A625" s="170"/>
      <c r="B625" s="178"/>
      <c r="D625" s="172"/>
      <c r="K625" s="172"/>
      <c r="L625" s="173"/>
      <c r="M625" s="174"/>
      <c r="N625" s="175"/>
      <c r="V625" s="176"/>
    </row>
    <row r="626" ht="15.75" customHeight="1">
      <c r="A626" s="170"/>
      <c r="B626" s="178"/>
      <c r="D626" s="172"/>
      <c r="K626" s="172"/>
      <c r="L626" s="173"/>
      <c r="M626" s="174"/>
      <c r="N626" s="175"/>
      <c r="V626" s="176"/>
    </row>
    <row r="627" ht="15.75" customHeight="1">
      <c r="A627" s="170"/>
      <c r="B627" s="178"/>
      <c r="D627" s="172"/>
      <c r="K627" s="172"/>
      <c r="L627" s="173"/>
      <c r="M627" s="174"/>
      <c r="N627" s="175"/>
      <c r="V627" s="176"/>
    </row>
    <row r="628" ht="15.75" customHeight="1">
      <c r="A628" s="170"/>
      <c r="B628" s="178"/>
      <c r="D628" s="172"/>
      <c r="K628" s="172"/>
      <c r="L628" s="173"/>
      <c r="M628" s="174"/>
      <c r="N628" s="175"/>
      <c r="V628" s="176"/>
    </row>
    <row r="629" ht="15.75" customHeight="1">
      <c r="A629" s="170"/>
      <c r="B629" s="178"/>
      <c r="D629" s="172"/>
      <c r="K629" s="172"/>
      <c r="L629" s="173"/>
      <c r="M629" s="174"/>
      <c r="N629" s="175"/>
      <c r="V629" s="176"/>
    </row>
    <row r="630" ht="15.75" customHeight="1">
      <c r="A630" s="170"/>
      <c r="B630" s="178"/>
      <c r="D630" s="172"/>
      <c r="K630" s="172"/>
      <c r="L630" s="173"/>
      <c r="M630" s="174"/>
      <c r="N630" s="175"/>
      <c r="V630" s="176"/>
    </row>
    <row r="631" ht="15.75" customHeight="1">
      <c r="A631" s="170"/>
      <c r="B631" s="178"/>
      <c r="D631" s="172"/>
      <c r="K631" s="172"/>
      <c r="L631" s="173"/>
      <c r="M631" s="174"/>
      <c r="N631" s="175"/>
      <c r="V631" s="176"/>
    </row>
    <row r="632" ht="15.75" customHeight="1">
      <c r="A632" s="170"/>
      <c r="B632" s="178"/>
      <c r="D632" s="172"/>
      <c r="K632" s="172"/>
      <c r="L632" s="173"/>
      <c r="M632" s="174"/>
      <c r="N632" s="175"/>
      <c r="V632" s="176"/>
    </row>
    <row r="633" ht="15.75" customHeight="1">
      <c r="A633" s="170"/>
      <c r="B633" s="178"/>
      <c r="D633" s="172"/>
      <c r="K633" s="172"/>
      <c r="L633" s="173"/>
      <c r="M633" s="174"/>
      <c r="N633" s="175"/>
      <c r="V633" s="176"/>
    </row>
    <row r="634" ht="15.75" customHeight="1">
      <c r="A634" s="170"/>
      <c r="B634" s="178"/>
      <c r="D634" s="172"/>
      <c r="K634" s="172"/>
      <c r="L634" s="173"/>
      <c r="M634" s="174"/>
      <c r="N634" s="175"/>
      <c r="V634" s="176"/>
    </row>
    <row r="635" ht="15.75" customHeight="1">
      <c r="A635" s="170"/>
      <c r="B635" s="178"/>
      <c r="D635" s="172"/>
      <c r="K635" s="172"/>
      <c r="L635" s="173"/>
      <c r="M635" s="174"/>
      <c r="N635" s="175"/>
      <c r="V635" s="176"/>
    </row>
    <row r="636" ht="15.75" customHeight="1">
      <c r="A636" s="170"/>
      <c r="B636" s="178"/>
      <c r="D636" s="172"/>
      <c r="K636" s="172"/>
      <c r="L636" s="173"/>
      <c r="M636" s="174"/>
      <c r="N636" s="175"/>
      <c r="V636" s="176"/>
    </row>
    <row r="637" ht="15.75" customHeight="1">
      <c r="A637" s="170"/>
      <c r="B637" s="178"/>
      <c r="D637" s="172"/>
      <c r="K637" s="172"/>
      <c r="L637" s="173"/>
      <c r="M637" s="174"/>
      <c r="N637" s="175"/>
      <c r="V637" s="176"/>
    </row>
    <row r="638" ht="15.75" customHeight="1">
      <c r="A638" s="170"/>
      <c r="B638" s="178"/>
      <c r="D638" s="172"/>
      <c r="K638" s="172"/>
      <c r="L638" s="173"/>
      <c r="M638" s="174"/>
      <c r="N638" s="175"/>
      <c r="V638" s="176"/>
    </row>
    <row r="639" ht="15.75" customHeight="1">
      <c r="A639" s="170"/>
      <c r="B639" s="178"/>
      <c r="D639" s="172"/>
      <c r="K639" s="172"/>
      <c r="L639" s="173"/>
      <c r="M639" s="174"/>
      <c r="N639" s="175"/>
      <c r="V639" s="176"/>
    </row>
    <row r="640" ht="15.75" customHeight="1">
      <c r="A640" s="170"/>
      <c r="B640" s="178"/>
      <c r="D640" s="172"/>
      <c r="K640" s="172"/>
      <c r="L640" s="173"/>
      <c r="M640" s="174"/>
      <c r="N640" s="175"/>
      <c r="V640" s="176"/>
    </row>
    <row r="641" ht="15.75" customHeight="1">
      <c r="A641" s="170"/>
      <c r="B641" s="178"/>
      <c r="D641" s="172"/>
      <c r="K641" s="172"/>
      <c r="L641" s="173"/>
      <c r="M641" s="174"/>
      <c r="N641" s="175"/>
      <c r="V641" s="176"/>
    </row>
    <row r="642" ht="15.75" customHeight="1">
      <c r="A642" s="170"/>
      <c r="B642" s="178"/>
      <c r="D642" s="172"/>
      <c r="K642" s="172"/>
      <c r="L642" s="173"/>
      <c r="M642" s="174"/>
      <c r="N642" s="175"/>
      <c r="V642" s="176"/>
    </row>
    <row r="643" ht="15.75" customHeight="1">
      <c r="A643" s="170"/>
      <c r="B643" s="178"/>
      <c r="D643" s="172"/>
      <c r="K643" s="172"/>
      <c r="L643" s="173"/>
      <c r="M643" s="174"/>
      <c r="N643" s="175"/>
      <c r="V643" s="176"/>
    </row>
    <row r="644" ht="15.75" customHeight="1">
      <c r="A644" s="170"/>
      <c r="B644" s="178"/>
      <c r="D644" s="172"/>
      <c r="K644" s="172"/>
      <c r="L644" s="173"/>
      <c r="M644" s="174"/>
      <c r="N644" s="175"/>
      <c r="V644" s="176"/>
    </row>
    <row r="645" ht="15.75" customHeight="1">
      <c r="A645" s="170"/>
      <c r="B645" s="178"/>
      <c r="D645" s="172"/>
      <c r="K645" s="172"/>
      <c r="L645" s="173"/>
      <c r="M645" s="174"/>
      <c r="N645" s="175"/>
      <c r="V645" s="176"/>
    </row>
    <row r="646" ht="15.75" customHeight="1">
      <c r="A646" s="170"/>
      <c r="B646" s="178"/>
      <c r="D646" s="172"/>
      <c r="K646" s="172"/>
      <c r="L646" s="173"/>
      <c r="M646" s="174"/>
      <c r="N646" s="175"/>
      <c r="V646" s="176"/>
    </row>
    <row r="647" ht="15.75" customHeight="1">
      <c r="A647" s="170"/>
      <c r="B647" s="178"/>
      <c r="D647" s="172"/>
      <c r="K647" s="172"/>
      <c r="L647" s="173"/>
      <c r="M647" s="174"/>
      <c r="N647" s="175"/>
      <c r="V647" s="176"/>
    </row>
    <row r="648" ht="15.75" customHeight="1">
      <c r="A648" s="170"/>
      <c r="B648" s="178"/>
      <c r="D648" s="172"/>
      <c r="K648" s="172"/>
      <c r="L648" s="173"/>
      <c r="M648" s="174"/>
      <c r="N648" s="175"/>
      <c r="V648" s="176"/>
    </row>
    <row r="649" ht="15.75" customHeight="1">
      <c r="A649" s="170"/>
      <c r="B649" s="178"/>
      <c r="D649" s="172"/>
      <c r="K649" s="172"/>
      <c r="L649" s="173"/>
      <c r="M649" s="174"/>
      <c r="N649" s="175"/>
      <c r="V649" s="176"/>
    </row>
    <row r="650" ht="15.75" customHeight="1">
      <c r="A650" s="170"/>
      <c r="B650" s="178"/>
      <c r="D650" s="172"/>
      <c r="K650" s="172"/>
      <c r="L650" s="173"/>
      <c r="M650" s="174"/>
      <c r="N650" s="175"/>
      <c r="V650" s="176"/>
    </row>
    <row r="651" ht="15.75" customHeight="1">
      <c r="A651" s="170"/>
      <c r="B651" s="178"/>
      <c r="D651" s="172"/>
      <c r="K651" s="172"/>
      <c r="L651" s="173"/>
      <c r="M651" s="174"/>
      <c r="N651" s="175"/>
      <c r="V651" s="176"/>
    </row>
    <row r="652" ht="15.75" customHeight="1">
      <c r="A652" s="170"/>
      <c r="B652" s="178"/>
      <c r="D652" s="172"/>
      <c r="K652" s="172"/>
      <c r="L652" s="173"/>
      <c r="M652" s="174"/>
      <c r="N652" s="175"/>
      <c r="V652" s="176"/>
    </row>
    <row r="653" ht="15.75" customHeight="1">
      <c r="A653" s="170"/>
      <c r="B653" s="178"/>
      <c r="D653" s="172"/>
      <c r="K653" s="172"/>
      <c r="L653" s="173"/>
      <c r="M653" s="174"/>
      <c r="N653" s="175"/>
      <c r="V653" s="176"/>
    </row>
    <row r="654" ht="15.75" customHeight="1">
      <c r="A654" s="170"/>
      <c r="B654" s="178"/>
      <c r="D654" s="172"/>
      <c r="K654" s="172"/>
      <c r="L654" s="173"/>
      <c r="M654" s="174"/>
      <c r="N654" s="175"/>
      <c r="V654" s="176"/>
    </row>
    <row r="655" ht="15.75" customHeight="1">
      <c r="A655" s="170"/>
      <c r="B655" s="178"/>
      <c r="D655" s="172"/>
      <c r="K655" s="172"/>
      <c r="L655" s="173"/>
      <c r="M655" s="174"/>
      <c r="N655" s="175"/>
      <c r="V655" s="176"/>
    </row>
    <row r="656" ht="15.75" customHeight="1">
      <c r="A656" s="170"/>
      <c r="B656" s="178"/>
      <c r="D656" s="172"/>
      <c r="K656" s="172"/>
      <c r="L656" s="173"/>
      <c r="M656" s="174"/>
      <c r="N656" s="175"/>
      <c r="V656" s="176"/>
    </row>
    <row r="657" ht="15.75" customHeight="1">
      <c r="A657" s="170"/>
      <c r="B657" s="178"/>
      <c r="D657" s="172"/>
      <c r="K657" s="172"/>
      <c r="L657" s="173"/>
      <c r="M657" s="174"/>
      <c r="N657" s="175"/>
      <c r="V657" s="176"/>
    </row>
    <row r="658" ht="15.75" customHeight="1">
      <c r="A658" s="170"/>
      <c r="B658" s="178"/>
      <c r="D658" s="172"/>
      <c r="K658" s="172"/>
      <c r="L658" s="173"/>
      <c r="M658" s="174"/>
      <c r="N658" s="175"/>
      <c r="V658" s="176"/>
    </row>
    <row r="659" ht="15.75" customHeight="1">
      <c r="A659" s="170"/>
      <c r="B659" s="178"/>
      <c r="D659" s="172"/>
      <c r="K659" s="172"/>
      <c r="L659" s="173"/>
      <c r="M659" s="174"/>
      <c r="N659" s="175"/>
      <c r="V659" s="176"/>
    </row>
    <row r="660" ht="15.75" customHeight="1">
      <c r="A660" s="170"/>
      <c r="B660" s="178"/>
      <c r="D660" s="172"/>
      <c r="K660" s="172"/>
      <c r="L660" s="173"/>
      <c r="M660" s="174"/>
      <c r="N660" s="175"/>
      <c r="V660" s="176"/>
    </row>
    <row r="661" ht="15.75" customHeight="1">
      <c r="A661" s="170"/>
      <c r="B661" s="178"/>
      <c r="D661" s="172"/>
      <c r="K661" s="172"/>
      <c r="L661" s="173"/>
      <c r="M661" s="174"/>
      <c r="N661" s="175"/>
      <c r="V661" s="176"/>
    </row>
    <row r="662" ht="15.75" customHeight="1">
      <c r="A662" s="170"/>
      <c r="B662" s="178"/>
      <c r="D662" s="172"/>
      <c r="K662" s="172"/>
      <c r="L662" s="173"/>
      <c r="M662" s="174"/>
      <c r="N662" s="175"/>
      <c r="V662" s="176"/>
    </row>
    <row r="663" ht="15.75" customHeight="1">
      <c r="A663" s="170"/>
      <c r="B663" s="178"/>
      <c r="D663" s="172"/>
      <c r="K663" s="172"/>
      <c r="L663" s="173"/>
      <c r="M663" s="174"/>
      <c r="N663" s="175"/>
      <c r="V663" s="176"/>
    </row>
    <row r="664" ht="15.75" customHeight="1">
      <c r="A664" s="170"/>
      <c r="B664" s="178"/>
      <c r="D664" s="172"/>
      <c r="K664" s="172"/>
      <c r="L664" s="173"/>
      <c r="M664" s="174"/>
      <c r="N664" s="175"/>
      <c r="V664" s="176"/>
    </row>
    <row r="665" ht="15.75" customHeight="1">
      <c r="A665" s="170"/>
      <c r="B665" s="178"/>
      <c r="D665" s="172"/>
      <c r="K665" s="172"/>
      <c r="L665" s="173"/>
      <c r="M665" s="174"/>
      <c r="N665" s="175"/>
      <c r="V665" s="176"/>
    </row>
    <row r="666" ht="15.75" customHeight="1">
      <c r="A666" s="170"/>
      <c r="B666" s="178"/>
      <c r="D666" s="172"/>
      <c r="K666" s="172"/>
      <c r="L666" s="173"/>
      <c r="M666" s="174"/>
      <c r="N666" s="175"/>
      <c r="V666" s="176"/>
    </row>
    <row r="667" ht="15.75" customHeight="1">
      <c r="A667" s="170"/>
      <c r="B667" s="178"/>
      <c r="D667" s="172"/>
      <c r="K667" s="172"/>
      <c r="L667" s="173"/>
      <c r="M667" s="174"/>
      <c r="N667" s="175"/>
      <c r="V667" s="176"/>
    </row>
    <row r="668" ht="15.75" customHeight="1">
      <c r="A668" s="170"/>
      <c r="B668" s="178"/>
      <c r="D668" s="172"/>
      <c r="K668" s="172"/>
      <c r="L668" s="173"/>
      <c r="M668" s="174"/>
      <c r="N668" s="175"/>
      <c r="V668" s="176"/>
    </row>
    <row r="669" ht="15.75" customHeight="1">
      <c r="A669" s="170"/>
      <c r="B669" s="178"/>
      <c r="D669" s="172"/>
      <c r="K669" s="172"/>
      <c r="L669" s="173"/>
      <c r="M669" s="174"/>
      <c r="N669" s="175"/>
      <c r="V669" s="176"/>
    </row>
    <row r="670" ht="15.75" customHeight="1">
      <c r="A670" s="170"/>
      <c r="B670" s="178"/>
      <c r="D670" s="172"/>
      <c r="K670" s="172"/>
      <c r="L670" s="173"/>
      <c r="M670" s="174"/>
      <c r="N670" s="175"/>
      <c r="V670" s="176"/>
    </row>
    <row r="671" ht="15.75" customHeight="1">
      <c r="A671" s="170"/>
      <c r="B671" s="178"/>
      <c r="D671" s="172"/>
      <c r="K671" s="172"/>
      <c r="L671" s="173"/>
      <c r="M671" s="174"/>
      <c r="N671" s="175"/>
      <c r="V671" s="176"/>
    </row>
    <row r="672" ht="15.75" customHeight="1">
      <c r="A672" s="170"/>
      <c r="B672" s="178"/>
      <c r="D672" s="172"/>
      <c r="K672" s="172"/>
      <c r="L672" s="173"/>
      <c r="M672" s="174"/>
      <c r="N672" s="175"/>
      <c r="V672" s="176"/>
    </row>
    <row r="673" ht="15.75" customHeight="1">
      <c r="A673" s="170"/>
      <c r="B673" s="178"/>
      <c r="D673" s="172"/>
      <c r="K673" s="172"/>
      <c r="L673" s="173"/>
      <c r="M673" s="174"/>
      <c r="N673" s="175"/>
      <c r="V673" s="176"/>
    </row>
    <row r="674" ht="15.75" customHeight="1">
      <c r="A674" s="170"/>
      <c r="B674" s="178"/>
      <c r="D674" s="172"/>
      <c r="K674" s="172"/>
      <c r="L674" s="173"/>
      <c r="M674" s="174"/>
      <c r="N674" s="175"/>
      <c r="V674" s="176"/>
    </row>
    <row r="675" ht="15.75" customHeight="1">
      <c r="A675" s="170"/>
      <c r="B675" s="178"/>
      <c r="D675" s="172"/>
      <c r="K675" s="172"/>
      <c r="L675" s="173"/>
      <c r="M675" s="174"/>
      <c r="N675" s="175"/>
      <c r="V675" s="176"/>
    </row>
    <row r="676" ht="15.75" customHeight="1">
      <c r="A676" s="170"/>
      <c r="B676" s="178"/>
      <c r="D676" s="172"/>
      <c r="K676" s="172"/>
      <c r="L676" s="173"/>
      <c r="M676" s="174"/>
      <c r="N676" s="175"/>
      <c r="V676" s="176"/>
    </row>
    <row r="677" ht="15.75" customHeight="1">
      <c r="A677" s="170"/>
      <c r="B677" s="178"/>
      <c r="D677" s="172"/>
      <c r="K677" s="172"/>
      <c r="L677" s="173"/>
      <c r="M677" s="174"/>
      <c r="N677" s="175"/>
      <c r="V677" s="176"/>
    </row>
    <row r="678" ht="15.75" customHeight="1">
      <c r="A678" s="170"/>
      <c r="B678" s="178"/>
      <c r="D678" s="172"/>
      <c r="K678" s="172"/>
      <c r="L678" s="173"/>
      <c r="M678" s="174"/>
      <c r="N678" s="175"/>
      <c r="V678" s="176"/>
    </row>
    <row r="679" ht="15.75" customHeight="1">
      <c r="A679" s="170"/>
      <c r="B679" s="178"/>
      <c r="D679" s="172"/>
      <c r="K679" s="172"/>
      <c r="L679" s="173"/>
      <c r="M679" s="174"/>
      <c r="N679" s="175"/>
      <c r="V679" s="176"/>
    </row>
    <row r="680" ht="15.75" customHeight="1">
      <c r="A680" s="170"/>
      <c r="B680" s="178"/>
      <c r="D680" s="172"/>
      <c r="K680" s="172"/>
      <c r="L680" s="173"/>
      <c r="M680" s="174"/>
      <c r="N680" s="175"/>
      <c r="V680" s="176"/>
    </row>
    <row r="681" ht="15.75" customHeight="1">
      <c r="A681" s="170"/>
      <c r="B681" s="178"/>
      <c r="D681" s="172"/>
      <c r="K681" s="172"/>
      <c r="L681" s="173"/>
      <c r="M681" s="174"/>
      <c r="N681" s="175"/>
      <c r="V681" s="176"/>
    </row>
    <row r="682" ht="15.75" customHeight="1">
      <c r="A682" s="170"/>
      <c r="B682" s="178"/>
      <c r="D682" s="172"/>
      <c r="K682" s="172"/>
      <c r="L682" s="173"/>
      <c r="M682" s="174"/>
      <c r="N682" s="175"/>
      <c r="V682" s="176"/>
    </row>
    <row r="683" ht="15.75" customHeight="1">
      <c r="A683" s="170"/>
      <c r="B683" s="178"/>
      <c r="D683" s="172"/>
      <c r="K683" s="172"/>
      <c r="L683" s="173"/>
      <c r="M683" s="174"/>
      <c r="N683" s="175"/>
      <c r="V683" s="176"/>
    </row>
    <row r="684" ht="15.75" customHeight="1">
      <c r="A684" s="170"/>
      <c r="B684" s="178"/>
      <c r="D684" s="172"/>
      <c r="K684" s="172"/>
      <c r="L684" s="173"/>
      <c r="M684" s="174"/>
      <c r="N684" s="175"/>
      <c r="V684" s="176"/>
    </row>
    <row r="685" ht="15.75" customHeight="1">
      <c r="A685" s="170"/>
      <c r="B685" s="178"/>
      <c r="D685" s="172"/>
      <c r="K685" s="172"/>
      <c r="L685" s="173"/>
      <c r="M685" s="174"/>
      <c r="N685" s="175"/>
      <c r="V685" s="176"/>
    </row>
    <row r="686" ht="15.75" customHeight="1">
      <c r="A686" s="170"/>
      <c r="B686" s="178"/>
      <c r="D686" s="172"/>
      <c r="K686" s="172"/>
      <c r="L686" s="173"/>
      <c r="M686" s="174"/>
      <c r="N686" s="175"/>
      <c r="V686" s="176"/>
    </row>
    <row r="687" ht="15.75" customHeight="1">
      <c r="A687" s="170"/>
      <c r="B687" s="178"/>
      <c r="D687" s="172"/>
      <c r="K687" s="172"/>
      <c r="L687" s="173"/>
      <c r="M687" s="174"/>
      <c r="N687" s="175"/>
      <c r="V687" s="176"/>
    </row>
    <row r="688" ht="15.75" customHeight="1">
      <c r="A688" s="170"/>
      <c r="B688" s="178"/>
      <c r="D688" s="172"/>
      <c r="K688" s="172"/>
      <c r="L688" s="173"/>
      <c r="M688" s="174"/>
      <c r="N688" s="175"/>
      <c r="V688" s="176"/>
    </row>
    <row r="689" ht="15.75" customHeight="1">
      <c r="A689" s="170"/>
      <c r="B689" s="178"/>
      <c r="D689" s="172"/>
      <c r="K689" s="172"/>
      <c r="L689" s="173"/>
      <c r="M689" s="174"/>
      <c r="N689" s="175"/>
      <c r="V689" s="176"/>
    </row>
    <row r="690" ht="15.75" customHeight="1">
      <c r="A690" s="170"/>
      <c r="B690" s="178"/>
      <c r="D690" s="172"/>
      <c r="K690" s="172"/>
      <c r="L690" s="173"/>
      <c r="M690" s="174"/>
      <c r="N690" s="175"/>
      <c r="V690" s="176"/>
    </row>
    <row r="691" ht="15.75" customHeight="1">
      <c r="A691" s="170"/>
      <c r="B691" s="178"/>
      <c r="D691" s="172"/>
      <c r="K691" s="172"/>
      <c r="L691" s="173"/>
      <c r="M691" s="174"/>
      <c r="N691" s="175"/>
      <c r="V691" s="176"/>
    </row>
    <row r="692" ht="15.75" customHeight="1">
      <c r="A692" s="170"/>
      <c r="B692" s="178"/>
      <c r="D692" s="172"/>
      <c r="K692" s="172"/>
      <c r="L692" s="173"/>
      <c r="M692" s="174"/>
      <c r="N692" s="175"/>
      <c r="V692" s="176"/>
    </row>
    <row r="693" ht="15.75" customHeight="1">
      <c r="A693" s="170"/>
      <c r="B693" s="178"/>
      <c r="D693" s="172"/>
      <c r="K693" s="172"/>
      <c r="L693" s="173"/>
      <c r="M693" s="174"/>
      <c r="N693" s="175"/>
      <c r="V693" s="176"/>
    </row>
    <row r="694" ht="15.75" customHeight="1">
      <c r="A694" s="170"/>
      <c r="B694" s="178"/>
      <c r="D694" s="172"/>
      <c r="K694" s="172"/>
      <c r="L694" s="173"/>
      <c r="M694" s="174"/>
      <c r="N694" s="175"/>
      <c r="V694" s="176"/>
    </row>
    <row r="695" ht="15.75" customHeight="1">
      <c r="A695" s="170"/>
      <c r="B695" s="178"/>
      <c r="D695" s="172"/>
      <c r="K695" s="172"/>
      <c r="L695" s="173"/>
      <c r="M695" s="174"/>
      <c r="N695" s="175"/>
      <c r="V695" s="176"/>
    </row>
    <row r="696" ht="15.75" customHeight="1">
      <c r="A696" s="170"/>
      <c r="B696" s="178"/>
      <c r="D696" s="172"/>
      <c r="K696" s="172"/>
      <c r="L696" s="173"/>
      <c r="M696" s="174"/>
      <c r="N696" s="175"/>
      <c r="V696" s="176"/>
    </row>
    <row r="697" ht="15.75" customHeight="1">
      <c r="A697" s="170"/>
      <c r="B697" s="178"/>
      <c r="D697" s="172"/>
      <c r="K697" s="172"/>
      <c r="L697" s="173"/>
      <c r="M697" s="174"/>
      <c r="N697" s="175"/>
      <c r="V697" s="176"/>
    </row>
    <row r="698" ht="15.75" customHeight="1">
      <c r="A698" s="170"/>
      <c r="B698" s="178"/>
      <c r="D698" s="172"/>
      <c r="K698" s="172"/>
      <c r="L698" s="173"/>
      <c r="M698" s="174"/>
      <c r="N698" s="175"/>
      <c r="V698" s="176"/>
    </row>
    <row r="699" ht="15.75" customHeight="1">
      <c r="A699" s="170"/>
      <c r="B699" s="178"/>
      <c r="D699" s="172"/>
      <c r="K699" s="172"/>
      <c r="L699" s="173"/>
      <c r="M699" s="174"/>
      <c r="N699" s="175"/>
      <c r="V699" s="176"/>
    </row>
    <row r="700" ht="15.75" customHeight="1">
      <c r="A700" s="170"/>
      <c r="B700" s="178"/>
      <c r="D700" s="172"/>
      <c r="K700" s="172"/>
      <c r="L700" s="173"/>
      <c r="M700" s="174"/>
      <c r="N700" s="175"/>
      <c r="V700" s="176"/>
    </row>
    <row r="701" ht="15.75" customHeight="1">
      <c r="A701" s="170"/>
      <c r="B701" s="178"/>
      <c r="D701" s="172"/>
      <c r="K701" s="172"/>
      <c r="L701" s="173"/>
      <c r="M701" s="174"/>
      <c r="N701" s="175"/>
      <c r="V701" s="176"/>
    </row>
    <row r="702" ht="15.75" customHeight="1">
      <c r="A702" s="170"/>
      <c r="B702" s="178"/>
      <c r="D702" s="172"/>
      <c r="K702" s="172"/>
      <c r="L702" s="173"/>
      <c r="M702" s="174"/>
      <c r="N702" s="175"/>
      <c r="V702" s="176"/>
    </row>
    <row r="703" ht="15.75" customHeight="1">
      <c r="A703" s="170"/>
      <c r="B703" s="178"/>
      <c r="D703" s="172"/>
      <c r="K703" s="172"/>
      <c r="L703" s="173"/>
      <c r="M703" s="174"/>
      <c r="N703" s="175"/>
      <c r="V703" s="176"/>
    </row>
    <row r="704" ht="15.75" customHeight="1">
      <c r="A704" s="170"/>
      <c r="B704" s="178"/>
      <c r="D704" s="172"/>
      <c r="K704" s="172"/>
      <c r="L704" s="173"/>
      <c r="M704" s="174"/>
      <c r="N704" s="175"/>
      <c r="V704" s="176"/>
    </row>
    <row r="705" ht="15.75" customHeight="1">
      <c r="A705" s="170"/>
      <c r="B705" s="178"/>
      <c r="D705" s="172"/>
      <c r="K705" s="172"/>
      <c r="L705" s="173"/>
      <c r="M705" s="174"/>
      <c r="N705" s="175"/>
      <c r="V705" s="176"/>
    </row>
    <row r="706" ht="15.75" customHeight="1">
      <c r="A706" s="170"/>
      <c r="B706" s="178"/>
      <c r="D706" s="172"/>
      <c r="K706" s="172"/>
      <c r="L706" s="173"/>
      <c r="M706" s="174"/>
      <c r="N706" s="175"/>
      <c r="V706" s="176"/>
    </row>
    <row r="707" ht="15.75" customHeight="1">
      <c r="A707" s="170"/>
      <c r="B707" s="178"/>
      <c r="D707" s="172"/>
      <c r="K707" s="172"/>
      <c r="L707" s="173"/>
      <c r="M707" s="174"/>
      <c r="N707" s="175"/>
      <c r="V707" s="176"/>
    </row>
    <row r="708" ht="15.75" customHeight="1">
      <c r="A708" s="170"/>
      <c r="B708" s="178"/>
      <c r="D708" s="172"/>
      <c r="K708" s="172"/>
      <c r="L708" s="173"/>
      <c r="M708" s="174"/>
      <c r="N708" s="175"/>
      <c r="V708" s="176"/>
    </row>
    <row r="709" ht="15.75" customHeight="1">
      <c r="A709" s="170"/>
      <c r="B709" s="178"/>
      <c r="D709" s="172"/>
      <c r="K709" s="172"/>
      <c r="L709" s="173"/>
      <c r="M709" s="174"/>
      <c r="N709" s="175"/>
      <c r="V709" s="176"/>
    </row>
    <row r="710" ht="15.75" customHeight="1">
      <c r="A710" s="170"/>
      <c r="B710" s="178"/>
      <c r="D710" s="172"/>
      <c r="K710" s="172"/>
      <c r="L710" s="173"/>
      <c r="M710" s="174"/>
      <c r="N710" s="175"/>
      <c r="V710" s="176"/>
    </row>
    <row r="711" ht="15.75" customHeight="1">
      <c r="A711" s="170"/>
      <c r="B711" s="178"/>
      <c r="D711" s="172"/>
      <c r="K711" s="172"/>
      <c r="L711" s="173"/>
      <c r="M711" s="174"/>
      <c r="N711" s="175"/>
      <c r="V711" s="176"/>
    </row>
    <row r="712" ht="15.75" customHeight="1">
      <c r="A712" s="170"/>
      <c r="B712" s="178"/>
      <c r="D712" s="172"/>
      <c r="K712" s="172"/>
      <c r="L712" s="173"/>
      <c r="M712" s="174"/>
      <c r="N712" s="175"/>
      <c r="V712" s="176"/>
    </row>
    <row r="713" ht="15.75" customHeight="1">
      <c r="A713" s="170"/>
      <c r="B713" s="178"/>
      <c r="D713" s="172"/>
      <c r="K713" s="172"/>
      <c r="L713" s="173"/>
      <c r="M713" s="174"/>
      <c r="N713" s="175"/>
      <c r="V713" s="176"/>
    </row>
    <row r="714" ht="15.75" customHeight="1">
      <c r="A714" s="170"/>
      <c r="B714" s="178"/>
      <c r="D714" s="172"/>
      <c r="K714" s="172"/>
      <c r="L714" s="173"/>
      <c r="M714" s="174"/>
      <c r="N714" s="175"/>
      <c r="V714" s="176"/>
    </row>
    <row r="715" ht="15.75" customHeight="1">
      <c r="A715" s="170"/>
      <c r="B715" s="178"/>
      <c r="D715" s="172"/>
      <c r="K715" s="172"/>
      <c r="L715" s="173"/>
      <c r="M715" s="174"/>
      <c r="N715" s="175"/>
      <c r="V715" s="176"/>
    </row>
    <row r="716" ht="15.75" customHeight="1">
      <c r="A716" s="170"/>
      <c r="B716" s="178"/>
      <c r="D716" s="172"/>
      <c r="K716" s="172"/>
      <c r="L716" s="173"/>
      <c r="M716" s="174"/>
      <c r="N716" s="175"/>
      <c r="V716" s="176"/>
    </row>
    <row r="717" ht="15.75" customHeight="1">
      <c r="A717" s="170"/>
      <c r="B717" s="178"/>
      <c r="D717" s="172"/>
      <c r="K717" s="172"/>
      <c r="L717" s="173"/>
      <c r="M717" s="174"/>
      <c r="N717" s="175"/>
      <c r="V717" s="176"/>
    </row>
    <row r="718" ht="15.75" customHeight="1">
      <c r="A718" s="170"/>
      <c r="B718" s="178"/>
      <c r="D718" s="172"/>
      <c r="K718" s="172"/>
      <c r="L718" s="173"/>
      <c r="M718" s="174"/>
      <c r="N718" s="175"/>
      <c r="V718" s="176"/>
    </row>
    <row r="719" ht="15.75" customHeight="1">
      <c r="A719" s="170"/>
      <c r="B719" s="178"/>
      <c r="D719" s="172"/>
      <c r="K719" s="172"/>
      <c r="L719" s="173"/>
      <c r="M719" s="174"/>
      <c r="N719" s="175"/>
      <c r="V719" s="176"/>
    </row>
    <row r="720" ht="15.75" customHeight="1">
      <c r="A720" s="170"/>
      <c r="B720" s="178"/>
      <c r="D720" s="172"/>
      <c r="K720" s="172"/>
      <c r="L720" s="173"/>
      <c r="M720" s="174"/>
      <c r="N720" s="175"/>
      <c r="V720" s="176"/>
    </row>
    <row r="721" ht="15.75" customHeight="1">
      <c r="A721" s="170"/>
      <c r="B721" s="178"/>
      <c r="D721" s="172"/>
      <c r="K721" s="172"/>
      <c r="L721" s="173"/>
      <c r="M721" s="174"/>
      <c r="N721" s="175"/>
      <c r="V721" s="176"/>
    </row>
    <row r="722" ht="15.75" customHeight="1">
      <c r="A722" s="170"/>
      <c r="B722" s="178"/>
      <c r="D722" s="172"/>
      <c r="K722" s="172"/>
      <c r="L722" s="173"/>
      <c r="M722" s="174"/>
      <c r="N722" s="175"/>
      <c r="V722" s="176"/>
    </row>
    <row r="723" ht="15.75" customHeight="1">
      <c r="A723" s="170"/>
      <c r="B723" s="178"/>
      <c r="D723" s="172"/>
      <c r="K723" s="172"/>
      <c r="L723" s="173"/>
      <c r="M723" s="174"/>
      <c r="N723" s="175"/>
      <c r="V723" s="176"/>
    </row>
    <row r="724" ht="15.75" customHeight="1">
      <c r="A724" s="170"/>
      <c r="B724" s="178"/>
      <c r="D724" s="172"/>
      <c r="K724" s="172"/>
      <c r="L724" s="173"/>
      <c r="M724" s="174"/>
      <c r="N724" s="175"/>
      <c r="V724" s="176"/>
    </row>
    <row r="725" ht="15.75" customHeight="1">
      <c r="A725" s="170"/>
      <c r="B725" s="178"/>
      <c r="D725" s="172"/>
      <c r="K725" s="172"/>
      <c r="L725" s="173"/>
      <c r="M725" s="174"/>
      <c r="N725" s="175"/>
      <c r="V725" s="176"/>
    </row>
    <row r="726" ht="15.75" customHeight="1">
      <c r="A726" s="170"/>
      <c r="B726" s="178"/>
      <c r="D726" s="172"/>
      <c r="K726" s="172"/>
      <c r="L726" s="173"/>
      <c r="M726" s="174"/>
      <c r="N726" s="175"/>
      <c r="V726" s="176"/>
    </row>
    <row r="727" ht="15.75" customHeight="1">
      <c r="A727" s="170"/>
      <c r="B727" s="178"/>
      <c r="D727" s="172"/>
      <c r="K727" s="172"/>
      <c r="L727" s="173"/>
      <c r="M727" s="174"/>
      <c r="N727" s="175"/>
      <c r="V727" s="176"/>
    </row>
    <row r="728" ht="15.75" customHeight="1">
      <c r="A728" s="170"/>
      <c r="B728" s="178"/>
      <c r="D728" s="172"/>
      <c r="K728" s="172"/>
      <c r="L728" s="173"/>
      <c r="M728" s="174"/>
      <c r="N728" s="175"/>
      <c r="V728" s="176"/>
    </row>
    <row r="729" ht="15.75" customHeight="1">
      <c r="A729" s="170"/>
      <c r="B729" s="178"/>
      <c r="D729" s="172"/>
      <c r="K729" s="172"/>
      <c r="L729" s="173"/>
      <c r="M729" s="174"/>
      <c r="N729" s="175"/>
      <c r="V729" s="176"/>
    </row>
    <row r="730" ht="15.75" customHeight="1">
      <c r="A730" s="170"/>
      <c r="B730" s="178"/>
      <c r="D730" s="172"/>
      <c r="K730" s="172"/>
      <c r="L730" s="173"/>
      <c r="M730" s="174"/>
      <c r="N730" s="175"/>
      <c r="V730" s="176"/>
    </row>
    <row r="731" ht="15.75" customHeight="1">
      <c r="A731" s="170"/>
      <c r="B731" s="178"/>
      <c r="D731" s="172"/>
      <c r="K731" s="172"/>
      <c r="L731" s="173"/>
      <c r="M731" s="174"/>
      <c r="N731" s="175"/>
      <c r="V731" s="176"/>
    </row>
    <row r="732" ht="15.75" customHeight="1">
      <c r="A732" s="170"/>
      <c r="B732" s="178"/>
      <c r="D732" s="172"/>
      <c r="K732" s="172"/>
      <c r="L732" s="173"/>
      <c r="M732" s="174"/>
      <c r="N732" s="175"/>
      <c r="V732" s="176"/>
    </row>
    <row r="733" ht="15.75" customHeight="1">
      <c r="A733" s="170"/>
      <c r="B733" s="178"/>
      <c r="D733" s="172"/>
      <c r="K733" s="172"/>
      <c r="L733" s="173"/>
      <c r="M733" s="174"/>
      <c r="N733" s="175"/>
      <c r="V733" s="176"/>
    </row>
    <row r="734" ht="15.75" customHeight="1">
      <c r="A734" s="170"/>
      <c r="B734" s="178"/>
      <c r="D734" s="172"/>
      <c r="K734" s="172"/>
      <c r="L734" s="173"/>
      <c r="M734" s="174"/>
      <c r="N734" s="175"/>
      <c r="V734" s="176"/>
    </row>
    <row r="735" ht="15.75" customHeight="1">
      <c r="A735" s="170"/>
      <c r="B735" s="178"/>
      <c r="D735" s="172"/>
      <c r="K735" s="172"/>
      <c r="L735" s="173"/>
      <c r="M735" s="174"/>
      <c r="N735" s="175"/>
      <c r="V735" s="176"/>
    </row>
    <row r="736" ht="15.75" customHeight="1">
      <c r="A736" s="170"/>
      <c r="B736" s="178"/>
      <c r="D736" s="172"/>
      <c r="K736" s="172"/>
      <c r="L736" s="173"/>
      <c r="M736" s="174"/>
      <c r="N736" s="175"/>
      <c r="V736" s="176"/>
    </row>
    <row r="737" ht="15.75" customHeight="1">
      <c r="A737" s="170"/>
      <c r="B737" s="178"/>
      <c r="D737" s="172"/>
      <c r="K737" s="172"/>
      <c r="L737" s="173"/>
      <c r="M737" s="174"/>
      <c r="N737" s="175"/>
      <c r="V737" s="176"/>
    </row>
    <row r="738" ht="15.75" customHeight="1">
      <c r="A738" s="170"/>
      <c r="B738" s="178"/>
      <c r="D738" s="172"/>
      <c r="K738" s="172"/>
      <c r="L738" s="173"/>
      <c r="M738" s="174"/>
      <c r="N738" s="175"/>
      <c r="V738" s="176"/>
    </row>
    <row r="739" ht="15.75" customHeight="1">
      <c r="A739" s="170"/>
      <c r="B739" s="178"/>
      <c r="D739" s="172"/>
      <c r="K739" s="172"/>
      <c r="L739" s="173"/>
      <c r="M739" s="174"/>
      <c r="N739" s="175"/>
      <c r="V739" s="176"/>
    </row>
    <row r="740" ht="15.75" customHeight="1">
      <c r="A740" s="170"/>
      <c r="B740" s="178"/>
      <c r="D740" s="172"/>
      <c r="K740" s="172"/>
      <c r="L740" s="173"/>
      <c r="M740" s="174"/>
      <c r="N740" s="175"/>
      <c r="V740" s="176"/>
    </row>
    <row r="741" ht="15.75" customHeight="1">
      <c r="A741" s="170"/>
      <c r="B741" s="178"/>
      <c r="D741" s="172"/>
      <c r="K741" s="172"/>
      <c r="L741" s="173"/>
      <c r="M741" s="174"/>
      <c r="N741" s="175"/>
      <c r="V741" s="176"/>
    </row>
    <row r="742" ht="15.75" customHeight="1">
      <c r="A742" s="170"/>
      <c r="B742" s="178"/>
      <c r="D742" s="172"/>
      <c r="K742" s="172"/>
      <c r="L742" s="173"/>
      <c r="M742" s="174"/>
      <c r="N742" s="175"/>
      <c r="V742" s="176"/>
    </row>
    <row r="743" ht="15.75" customHeight="1">
      <c r="A743" s="170"/>
      <c r="B743" s="178"/>
      <c r="D743" s="172"/>
      <c r="K743" s="172"/>
      <c r="L743" s="173"/>
      <c r="M743" s="174"/>
      <c r="N743" s="175"/>
      <c r="V743" s="176"/>
    </row>
    <row r="744" ht="15.75" customHeight="1">
      <c r="A744" s="170"/>
      <c r="B744" s="178"/>
      <c r="D744" s="172"/>
      <c r="K744" s="172"/>
      <c r="L744" s="173"/>
      <c r="M744" s="174"/>
      <c r="N744" s="175"/>
      <c r="V744" s="176"/>
    </row>
    <row r="745" ht="15.75" customHeight="1">
      <c r="A745" s="170"/>
      <c r="B745" s="178"/>
      <c r="D745" s="172"/>
      <c r="K745" s="172"/>
      <c r="L745" s="173"/>
      <c r="M745" s="174"/>
      <c r="N745" s="175"/>
      <c r="V745" s="176"/>
    </row>
    <row r="746" ht="15.75" customHeight="1">
      <c r="A746" s="170"/>
      <c r="B746" s="178"/>
      <c r="D746" s="172"/>
      <c r="K746" s="172"/>
      <c r="L746" s="173"/>
      <c r="M746" s="174"/>
      <c r="N746" s="175"/>
      <c r="V746" s="176"/>
    </row>
    <row r="747" ht="15.75" customHeight="1">
      <c r="A747" s="170"/>
      <c r="B747" s="178"/>
      <c r="D747" s="172"/>
      <c r="K747" s="172"/>
      <c r="L747" s="173"/>
      <c r="M747" s="174"/>
      <c r="N747" s="175"/>
      <c r="V747" s="176"/>
    </row>
    <row r="748" ht="15.75" customHeight="1">
      <c r="A748" s="170"/>
      <c r="B748" s="178"/>
      <c r="D748" s="172"/>
      <c r="K748" s="172"/>
      <c r="L748" s="173"/>
      <c r="M748" s="174"/>
      <c r="N748" s="175"/>
      <c r="V748" s="176"/>
    </row>
    <row r="749" ht="15.75" customHeight="1">
      <c r="A749" s="170"/>
      <c r="B749" s="178"/>
      <c r="D749" s="172"/>
      <c r="K749" s="172"/>
      <c r="L749" s="173"/>
      <c r="M749" s="174"/>
      <c r="N749" s="175"/>
      <c r="V749" s="176"/>
    </row>
    <row r="750" ht="15.75" customHeight="1">
      <c r="A750" s="170"/>
      <c r="B750" s="178"/>
      <c r="D750" s="172"/>
      <c r="K750" s="172"/>
      <c r="L750" s="173"/>
      <c r="M750" s="174"/>
      <c r="N750" s="175"/>
      <c r="V750" s="176"/>
    </row>
    <row r="751" ht="15.75" customHeight="1">
      <c r="A751" s="170"/>
      <c r="B751" s="178"/>
      <c r="D751" s="172"/>
      <c r="K751" s="172"/>
      <c r="L751" s="173"/>
      <c r="M751" s="174"/>
      <c r="N751" s="175"/>
      <c r="V751" s="176"/>
    </row>
    <row r="752" ht="15.75" customHeight="1">
      <c r="A752" s="170"/>
      <c r="B752" s="178"/>
      <c r="D752" s="172"/>
      <c r="K752" s="172"/>
      <c r="L752" s="173"/>
      <c r="M752" s="174"/>
      <c r="N752" s="175"/>
      <c r="V752" s="176"/>
    </row>
    <row r="753" ht="15.75" customHeight="1">
      <c r="A753" s="170"/>
      <c r="B753" s="178"/>
      <c r="D753" s="172"/>
      <c r="K753" s="172"/>
      <c r="L753" s="173"/>
      <c r="M753" s="174"/>
      <c r="N753" s="175"/>
      <c r="V753" s="176"/>
    </row>
    <row r="754" ht="15.75" customHeight="1">
      <c r="A754" s="170"/>
      <c r="B754" s="178"/>
      <c r="D754" s="172"/>
      <c r="K754" s="172"/>
      <c r="L754" s="173"/>
      <c r="M754" s="174"/>
      <c r="N754" s="175"/>
      <c r="V754" s="176"/>
    </row>
    <row r="755" ht="15.75" customHeight="1">
      <c r="A755" s="170"/>
      <c r="B755" s="178"/>
      <c r="D755" s="172"/>
      <c r="K755" s="172"/>
      <c r="L755" s="173"/>
      <c r="M755" s="174"/>
      <c r="N755" s="175"/>
      <c r="V755" s="176"/>
    </row>
    <row r="756" ht="15.75" customHeight="1">
      <c r="A756" s="170"/>
      <c r="B756" s="178"/>
      <c r="D756" s="172"/>
      <c r="K756" s="172"/>
      <c r="L756" s="173"/>
      <c r="M756" s="174"/>
      <c r="N756" s="175"/>
      <c r="V756" s="176"/>
    </row>
    <row r="757" ht="15.75" customHeight="1">
      <c r="A757" s="170"/>
      <c r="B757" s="178"/>
      <c r="D757" s="172"/>
      <c r="K757" s="172"/>
      <c r="L757" s="173"/>
      <c r="M757" s="174"/>
      <c r="N757" s="175"/>
      <c r="V757" s="176"/>
    </row>
    <row r="758" ht="15.75" customHeight="1">
      <c r="A758" s="170"/>
      <c r="B758" s="178"/>
      <c r="D758" s="172"/>
      <c r="K758" s="172"/>
      <c r="L758" s="173"/>
      <c r="M758" s="174"/>
      <c r="N758" s="175"/>
      <c r="V758" s="176"/>
    </row>
    <row r="759" ht="15.75" customHeight="1">
      <c r="A759" s="170"/>
      <c r="B759" s="178"/>
      <c r="D759" s="172"/>
      <c r="K759" s="172"/>
      <c r="L759" s="173"/>
      <c r="M759" s="174"/>
      <c r="N759" s="175"/>
      <c r="V759" s="176"/>
    </row>
    <row r="760" ht="15.75" customHeight="1">
      <c r="A760" s="170"/>
      <c r="B760" s="178"/>
      <c r="D760" s="172"/>
      <c r="K760" s="172"/>
      <c r="L760" s="173"/>
      <c r="M760" s="174"/>
      <c r="N760" s="175"/>
      <c r="V760" s="176"/>
    </row>
    <row r="761" ht="15.75" customHeight="1">
      <c r="A761" s="170"/>
      <c r="B761" s="178"/>
      <c r="D761" s="172"/>
      <c r="K761" s="172"/>
      <c r="L761" s="173"/>
      <c r="M761" s="174"/>
      <c r="N761" s="175"/>
      <c r="V761" s="176"/>
    </row>
    <row r="762" ht="15.75" customHeight="1">
      <c r="A762" s="170"/>
      <c r="B762" s="178"/>
      <c r="D762" s="172"/>
      <c r="K762" s="172"/>
      <c r="L762" s="173"/>
      <c r="M762" s="174"/>
      <c r="N762" s="175"/>
      <c r="V762" s="176"/>
    </row>
    <row r="763" ht="15.75" customHeight="1">
      <c r="A763" s="170"/>
      <c r="B763" s="178"/>
      <c r="D763" s="172"/>
      <c r="K763" s="172"/>
      <c r="L763" s="173"/>
      <c r="M763" s="174"/>
      <c r="N763" s="175"/>
      <c r="V763" s="176"/>
    </row>
    <row r="764" ht="15.75" customHeight="1">
      <c r="A764" s="170"/>
      <c r="B764" s="178"/>
      <c r="D764" s="172"/>
      <c r="K764" s="172"/>
      <c r="L764" s="173"/>
      <c r="M764" s="174"/>
      <c r="N764" s="175"/>
      <c r="V764" s="176"/>
    </row>
    <row r="765" ht="15.75" customHeight="1">
      <c r="A765" s="170"/>
      <c r="B765" s="178"/>
      <c r="D765" s="172"/>
      <c r="K765" s="172"/>
      <c r="L765" s="173"/>
      <c r="M765" s="174"/>
      <c r="N765" s="175"/>
      <c r="V765" s="176"/>
    </row>
    <row r="766" ht="15.75" customHeight="1">
      <c r="A766" s="170"/>
      <c r="B766" s="178"/>
      <c r="D766" s="172"/>
      <c r="K766" s="172"/>
      <c r="L766" s="173"/>
      <c r="M766" s="174"/>
      <c r="N766" s="175"/>
      <c r="V766" s="176"/>
    </row>
    <row r="767" ht="15.75" customHeight="1">
      <c r="A767" s="170"/>
      <c r="B767" s="178"/>
      <c r="D767" s="172"/>
      <c r="K767" s="172"/>
      <c r="L767" s="173"/>
      <c r="M767" s="174"/>
      <c r="N767" s="175"/>
      <c r="V767" s="176"/>
    </row>
    <row r="768" ht="15.75" customHeight="1">
      <c r="A768" s="170"/>
      <c r="B768" s="178"/>
      <c r="D768" s="172"/>
      <c r="K768" s="172"/>
      <c r="L768" s="173"/>
      <c r="M768" s="174"/>
      <c r="N768" s="175"/>
      <c r="V768" s="176"/>
    </row>
    <row r="769" ht="15.75" customHeight="1">
      <c r="A769" s="170"/>
      <c r="B769" s="178"/>
      <c r="D769" s="172"/>
      <c r="K769" s="172"/>
      <c r="L769" s="173"/>
      <c r="M769" s="174"/>
      <c r="N769" s="175"/>
      <c r="V769" s="176"/>
    </row>
    <row r="770" ht="15.75" customHeight="1">
      <c r="A770" s="170"/>
      <c r="B770" s="178"/>
      <c r="D770" s="172"/>
      <c r="K770" s="172"/>
      <c r="L770" s="173"/>
      <c r="M770" s="174"/>
      <c r="N770" s="175"/>
      <c r="V770" s="176"/>
    </row>
    <row r="771" ht="15.75" customHeight="1">
      <c r="A771" s="170"/>
      <c r="B771" s="178"/>
      <c r="D771" s="172"/>
      <c r="K771" s="172"/>
      <c r="L771" s="173"/>
      <c r="M771" s="174"/>
      <c r="N771" s="175"/>
      <c r="V771" s="176"/>
    </row>
    <row r="772" ht="15.75" customHeight="1">
      <c r="A772" s="170"/>
      <c r="B772" s="178"/>
      <c r="D772" s="172"/>
      <c r="K772" s="172"/>
      <c r="L772" s="173"/>
      <c r="M772" s="174"/>
      <c r="N772" s="175"/>
      <c r="V772" s="176"/>
    </row>
    <row r="773" ht="15.75" customHeight="1">
      <c r="A773" s="170"/>
      <c r="B773" s="178"/>
      <c r="D773" s="172"/>
      <c r="K773" s="172"/>
      <c r="L773" s="173"/>
      <c r="M773" s="174"/>
      <c r="N773" s="175"/>
      <c r="V773" s="176"/>
    </row>
    <row r="774" ht="15.75" customHeight="1">
      <c r="A774" s="170"/>
      <c r="B774" s="178"/>
      <c r="D774" s="172"/>
      <c r="K774" s="172"/>
      <c r="L774" s="173"/>
      <c r="M774" s="174"/>
      <c r="N774" s="175"/>
      <c r="V774" s="176"/>
    </row>
    <row r="775" ht="15.75" customHeight="1">
      <c r="A775" s="170"/>
      <c r="B775" s="178"/>
      <c r="D775" s="172"/>
      <c r="K775" s="172"/>
      <c r="L775" s="173"/>
      <c r="M775" s="174"/>
      <c r="N775" s="175"/>
      <c r="V775" s="176"/>
    </row>
    <row r="776" ht="15.75" customHeight="1">
      <c r="A776" s="170"/>
      <c r="B776" s="178"/>
      <c r="D776" s="172"/>
      <c r="K776" s="172"/>
      <c r="L776" s="173"/>
      <c r="M776" s="174"/>
      <c r="N776" s="175"/>
      <c r="V776" s="176"/>
    </row>
    <row r="777" ht="15.75" customHeight="1">
      <c r="A777" s="170"/>
      <c r="B777" s="178"/>
      <c r="D777" s="172"/>
      <c r="K777" s="172"/>
      <c r="L777" s="173"/>
      <c r="M777" s="174"/>
      <c r="N777" s="175"/>
      <c r="V777" s="176"/>
    </row>
    <row r="778" ht="15.75" customHeight="1">
      <c r="A778" s="170"/>
      <c r="B778" s="178"/>
      <c r="D778" s="172"/>
      <c r="K778" s="172"/>
      <c r="L778" s="173"/>
      <c r="M778" s="174"/>
      <c r="N778" s="175"/>
      <c r="V778" s="176"/>
    </row>
    <row r="779" ht="15.75" customHeight="1">
      <c r="A779" s="170"/>
      <c r="B779" s="178"/>
      <c r="D779" s="172"/>
      <c r="K779" s="172"/>
      <c r="L779" s="173"/>
      <c r="M779" s="174"/>
      <c r="N779" s="175"/>
      <c r="V779" s="176"/>
    </row>
    <row r="780" ht="15.75" customHeight="1">
      <c r="A780" s="170"/>
      <c r="B780" s="178"/>
      <c r="D780" s="172"/>
      <c r="K780" s="172"/>
      <c r="L780" s="173"/>
      <c r="M780" s="174"/>
      <c r="N780" s="175"/>
      <c r="V780" s="176"/>
    </row>
    <row r="781" ht="15.75" customHeight="1">
      <c r="A781" s="170"/>
      <c r="B781" s="178"/>
      <c r="D781" s="172"/>
      <c r="K781" s="172"/>
      <c r="L781" s="173"/>
      <c r="M781" s="174"/>
      <c r="N781" s="175"/>
      <c r="V781" s="176"/>
    </row>
    <row r="782" ht="15.75" customHeight="1">
      <c r="A782" s="170"/>
      <c r="B782" s="178"/>
      <c r="D782" s="172"/>
      <c r="K782" s="172"/>
      <c r="L782" s="173"/>
      <c r="M782" s="174"/>
      <c r="N782" s="175"/>
      <c r="V782" s="176"/>
    </row>
    <row r="783" ht="15.75" customHeight="1">
      <c r="A783" s="170"/>
      <c r="B783" s="178"/>
      <c r="D783" s="172"/>
      <c r="K783" s="172"/>
      <c r="L783" s="173"/>
      <c r="M783" s="174"/>
      <c r="N783" s="175"/>
      <c r="V783" s="176"/>
    </row>
    <row r="784" ht="15.75" customHeight="1">
      <c r="A784" s="170"/>
      <c r="B784" s="178"/>
      <c r="D784" s="172"/>
      <c r="K784" s="172"/>
      <c r="L784" s="173"/>
      <c r="M784" s="174"/>
      <c r="N784" s="175"/>
      <c r="V784" s="176"/>
    </row>
    <row r="785" ht="15.75" customHeight="1">
      <c r="A785" s="170"/>
      <c r="B785" s="178"/>
      <c r="D785" s="172"/>
      <c r="K785" s="172"/>
      <c r="L785" s="173"/>
      <c r="M785" s="174"/>
      <c r="N785" s="175"/>
      <c r="V785" s="176"/>
    </row>
    <row r="786" ht="15.75" customHeight="1">
      <c r="A786" s="170"/>
      <c r="B786" s="178"/>
      <c r="D786" s="172"/>
      <c r="K786" s="172"/>
      <c r="L786" s="173"/>
      <c r="M786" s="174"/>
      <c r="N786" s="175"/>
      <c r="V786" s="176"/>
    </row>
    <row r="787" ht="15.75" customHeight="1">
      <c r="A787" s="170"/>
      <c r="B787" s="178"/>
      <c r="D787" s="172"/>
      <c r="K787" s="172"/>
      <c r="L787" s="173"/>
      <c r="M787" s="174"/>
      <c r="N787" s="175"/>
      <c r="V787" s="176"/>
    </row>
    <row r="788" ht="15.75" customHeight="1">
      <c r="A788" s="170"/>
      <c r="B788" s="178"/>
      <c r="D788" s="172"/>
      <c r="K788" s="172"/>
      <c r="L788" s="173"/>
      <c r="M788" s="174"/>
      <c r="N788" s="175"/>
      <c r="V788" s="176"/>
    </row>
    <row r="789" ht="15.75" customHeight="1">
      <c r="A789" s="170"/>
      <c r="B789" s="178"/>
      <c r="D789" s="172"/>
      <c r="K789" s="172"/>
      <c r="L789" s="173"/>
      <c r="M789" s="174"/>
      <c r="N789" s="175"/>
      <c r="V789" s="176"/>
    </row>
    <row r="790" ht="15.75" customHeight="1">
      <c r="A790" s="170"/>
      <c r="B790" s="178"/>
      <c r="D790" s="172"/>
      <c r="K790" s="172"/>
      <c r="L790" s="173"/>
      <c r="M790" s="174"/>
      <c r="N790" s="175"/>
      <c r="V790" s="176"/>
    </row>
    <row r="791" ht="15.75" customHeight="1">
      <c r="A791" s="170"/>
      <c r="B791" s="178"/>
      <c r="D791" s="172"/>
      <c r="K791" s="172"/>
      <c r="L791" s="173"/>
      <c r="M791" s="174"/>
      <c r="N791" s="175"/>
      <c r="V791" s="176"/>
    </row>
    <row r="792" ht="15.75" customHeight="1">
      <c r="A792" s="170"/>
      <c r="B792" s="178"/>
      <c r="D792" s="172"/>
      <c r="K792" s="172"/>
      <c r="L792" s="173"/>
      <c r="M792" s="174"/>
      <c r="N792" s="175"/>
      <c r="V792" s="176"/>
    </row>
    <row r="793" ht="15.75" customHeight="1">
      <c r="A793" s="170"/>
      <c r="B793" s="178"/>
      <c r="D793" s="172"/>
      <c r="K793" s="172"/>
      <c r="L793" s="173"/>
      <c r="M793" s="174"/>
      <c r="N793" s="175"/>
      <c r="V793" s="176"/>
    </row>
    <row r="794" ht="15.75" customHeight="1">
      <c r="A794" s="170"/>
      <c r="B794" s="178"/>
      <c r="D794" s="172"/>
      <c r="K794" s="172"/>
      <c r="L794" s="173"/>
      <c r="M794" s="174"/>
      <c r="N794" s="175"/>
      <c r="V794" s="176"/>
    </row>
    <row r="795" ht="15.75" customHeight="1">
      <c r="A795" s="170"/>
      <c r="B795" s="178"/>
      <c r="D795" s="172"/>
      <c r="K795" s="172"/>
      <c r="L795" s="173"/>
      <c r="M795" s="174"/>
      <c r="N795" s="175"/>
      <c r="V795" s="176"/>
    </row>
    <row r="796" ht="15.75" customHeight="1">
      <c r="A796" s="170"/>
      <c r="B796" s="178"/>
      <c r="D796" s="172"/>
      <c r="K796" s="172"/>
      <c r="L796" s="173"/>
      <c r="M796" s="174"/>
      <c r="N796" s="175"/>
      <c r="V796" s="176"/>
    </row>
    <row r="797" ht="15.75" customHeight="1">
      <c r="A797" s="170"/>
      <c r="B797" s="178"/>
      <c r="D797" s="172"/>
      <c r="K797" s="172"/>
      <c r="L797" s="173"/>
      <c r="M797" s="174"/>
      <c r="N797" s="175"/>
      <c r="V797" s="176"/>
    </row>
    <row r="798" ht="15.75" customHeight="1">
      <c r="A798" s="170"/>
      <c r="B798" s="178"/>
      <c r="D798" s="172"/>
      <c r="K798" s="172"/>
      <c r="L798" s="173"/>
      <c r="M798" s="174"/>
      <c r="N798" s="175"/>
      <c r="V798" s="176"/>
    </row>
    <row r="799" ht="15.75" customHeight="1">
      <c r="A799" s="170"/>
      <c r="B799" s="178"/>
      <c r="D799" s="172"/>
      <c r="K799" s="172"/>
      <c r="L799" s="173"/>
      <c r="M799" s="174"/>
      <c r="N799" s="175"/>
      <c r="V799" s="176"/>
    </row>
    <row r="800" ht="15.75" customHeight="1">
      <c r="A800" s="170"/>
      <c r="B800" s="178"/>
      <c r="D800" s="172"/>
      <c r="K800" s="172"/>
      <c r="L800" s="173"/>
      <c r="M800" s="174"/>
      <c r="N800" s="175"/>
      <c r="V800" s="176"/>
    </row>
    <row r="801" ht="15.75" customHeight="1">
      <c r="A801" s="170"/>
      <c r="B801" s="178"/>
      <c r="D801" s="172"/>
      <c r="K801" s="172"/>
      <c r="L801" s="173"/>
      <c r="M801" s="174"/>
      <c r="N801" s="175"/>
      <c r="V801" s="176"/>
    </row>
    <row r="802" ht="15.75" customHeight="1">
      <c r="A802" s="170"/>
      <c r="B802" s="178"/>
      <c r="D802" s="172"/>
      <c r="K802" s="172"/>
      <c r="L802" s="173"/>
      <c r="M802" s="174"/>
      <c r="N802" s="175"/>
      <c r="V802" s="176"/>
    </row>
    <row r="803" ht="15.75" customHeight="1">
      <c r="A803" s="170"/>
      <c r="B803" s="178"/>
      <c r="D803" s="172"/>
      <c r="K803" s="172"/>
      <c r="L803" s="173"/>
      <c r="M803" s="174"/>
      <c r="N803" s="175"/>
      <c r="V803" s="176"/>
    </row>
    <row r="804" ht="15.75" customHeight="1">
      <c r="A804" s="170"/>
      <c r="B804" s="178"/>
      <c r="D804" s="172"/>
      <c r="K804" s="172"/>
      <c r="L804" s="173"/>
      <c r="M804" s="174"/>
      <c r="N804" s="175"/>
      <c r="V804" s="176"/>
    </row>
    <row r="805" ht="15.75" customHeight="1">
      <c r="A805" s="170"/>
      <c r="B805" s="178"/>
      <c r="D805" s="172"/>
      <c r="K805" s="172"/>
      <c r="L805" s="173"/>
      <c r="M805" s="174"/>
      <c r="N805" s="175"/>
      <c r="V805" s="176"/>
    </row>
    <row r="806" ht="15.75" customHeight="1">
      <c r="A806" s="170"/>
      <c r="B806" s="178"/>
      <c r="D806" s="172"/>
      <c r="K806" s="172"/>
      <c r="L806" s="173"/>
      <c r="M806" s="174"/>
      <c r="N806" s="175"/>
      <c r="V806" s="176"/>
    </row>
    <row r="807" ht="15.75" customHeight="1">
      <c r="A807" s="170"/>
      <c r="B807" s="178"/>
      <c r="D807" s="172"/>
      <c r="K807" s="172"/>
      <c r="L807" s="173"/>
      <c r="M807" s="174"/>
      <c r="N807" s="175"/>
      <c r="V807" s="176"/>
    </row>
    <row r="808" ht="15.75" customHeight="1">
      <c r="A808" s="170"/>
      <c r="B808" s="178"/>
      <c r="D808" s="172"/>
      <c r="K808" s="172"/>
      <c r="L808" s="173"/>
      <c r="M808" s="174"/>
      <c r="N808" s="175"/>
      <c r="V808" s="176"/>
    </row>
    <row r="809" ht="15.75" customHeight="1">
      <c r="A809" s="170"/>
      <c r="B809" s="178"/>
      <c r="D809" s="172"/>
      <c r="K809" s="172"/>
      <c r="L809" s="173"/>
      <c r="M809" s="174"/>
      <c r="N809" s="175"/>
      <c r="V809" s="176"/>
    </row>
    <row r="810" ht="15.75" customHeight="1">
      <c r="A810" s="170"/>
      <c r="B810" s="178"/>
      <c r="D810" s="172"/>
      <c r="K810" s="172"/>
      <c r="L810" s="173"/>
      <c r="M810" s="174"/>
      <c r="N810" s="175"/>
      <c r="V810" s="176"/>
    </row>
    <row r="811" ht="15.75" customHeight="1">
      <c r="A811" s="170"/>
      <c r="B811" s="178"/>
      <c r="D811" s="172"/>
      <c r="K811" s="172"/>
      <c r="L811" s="173"/>
      <c r="M811" s="174"/>
      <c r="N811" s="175"/>
      <c r="V811" s="176"/>
    </row>
    <row r="812" ht="15.75" customHeight="1">
      <c r="A812" s="170"/>
      <c r="B812" s="178"/>
      <c r="D812" s="172"/>
      <c r="K812" s="172"/>
      <c r="L812" s="173"/>
      <c r="M812" s="174"/>
      <c r="N812" s="175"/>
      <c r="V812" s="176"/>
    </row>
    <row r="813" ht="15.75" customHeight="1">
      <c r="A813" s="170"/>
      <c r="B813" s="178"/>
      <c r="D813" s="172"/>
      <c r="K813" s="172"/>
      <c r="L813" s="173"/>
      <c r="M813" s="174"/>
      <c r="N813" s="175"/>
      <c r="V813" s="176"/>
    </row>
    <row r="814" ht="15.75" customHeight="1">
      <c r="A814" s="170"/>
      <c r="B814" s="178"/>
      <c r="D814" s="172"/>
      <c r="K814" s="172"/>
      <c r="L814" s="173"/>
      <c r="M814" s="174"/>
      <c r="N814" s="175"/>
      <c r="V814" s="176"/>
    </row>
    <row r="815" ht="15.75" customHeight="1">
      <c r="A815" s="170"/>
      <c r="B815" s="178"/>
      <c r="D815" s="172"/>
      <c r="K815" s="172"/>
      <c r="L815" s="173"/>
      <c r="M815" s="174"/>
      <c r="N815" s="175"/>
      <c r="V815" s="176"/>
    </row>
    <row r="816" ht="15.75" customHeight="1">
      <c r="A816" s="170"/>
      <c r="B816" s="178"/>
      <c r="D816" s="172"/>
      <c r="K816" s="172"/>
      <c r="L816" s="173"/>
      <c r="M816" s="174"/>
      <c r="N816" s="175"/>
      <c r="V816" s="176"/>
    </row>
    <row r="817" ht="15.75" customHeight="1">
      <c r="A817" s="170"/>
      <c r="B817" s="178"/>
      <c r="D817" s="172"/>
      <c r="K817" s="172"/>
      <c r="L817" s="173"/>
      <c r="M817" s="174"/>
      <c r="N817" s="175"/>
      <c r="V817" s="176"/>
    </row>
    <row r="818" ht="15.75" customHeight="1">
      <c r="A818" s="170"/>
      <c r="B818" s="178"/>
      <c r="D818" s="172"/>
      <c r="K818" s="172"/>
      <c r="L818" s="173"/>
      <c r="M818" s="174"/>
      <c r="N818" s="175"/>
      <c r="V818" s="176"/>
    </row>
    <row r="819" ht="15.75" customHeight="1">
      <c r="A819" s="170"/>
      <c r="B819" s="178"/>
      <c r="D819" s="172"/>
      <c r="K819" s="172"/>
      <c r="L819" s="173"/>
      <c r="M819" s="174"/>
      <c r="N819" s="175"/>
      <c r="V819" s="176"/>
    </row>
    <row r="820" ht="15.75" customHeight="1">
      <c r="A820" s="170"/>
      <c r="B820" s="178"/>
      <c r="D820" s="172"/>
      <c r="K820" s="172"/>
      <c r="L820" s="173"/>
      <c r="M820" s="174"/>
      <c r="N820" s="175"/>
      <c r="V820" s="176"/>
    </row>
    <row r="821" ht="15.75" customHeight="1">
      <c r="A821" s="170"/>
      <c r="B821" s="178"/>
      <c r="D821" s="172"/>
      <c r="K821" s="172"/>
      <c r="L821" s="173"/>
      <c r="M821" s="174"/>
      <c r="N821" s="175"/>
      <c r="V821" s="176"/>
    </row>
    <row r="822" ht="15.75" customHeight="1">
      <c r="A822" s="170"/>
      <c r="B822" s="178"/>
      <c r="D822" s="172"/>
      <c r="K822" s="172"/>
      <c r="L822" s="173"/>
      <c r="M822" s="174"/>
      <c r="N822" s="175"/>
      <c r="V822" s="176"/>
    </row>
    <row r="823" ht="15.75" customHeight="1">
      <c r="A823" s="170"/>
      <c r="B823" s="178"/>
      <c r="D823" s="172"/>
      <c r="K823" s="172"/>
      <c r="L823" s="173"/>
      <c r="M823" s="174"/>
      <c r="N823" s="175"/>
      <c r="V823" s="176"/>
    </row>
    <row r="824" ht="15.75" customHeight="1">
      <c r="A824" s="170"/>
      <c r="B824" s="178"/>
      <c r="D824" s="172"/>
      <c r="K824" s="172"/>
      <c r="L824" s="173"/>
      <c r="M824" s="174"/>
      <c r="N824" s="175"/>
      <c r="V824" s="176"/>
    </row>
    <row r="825" ht="15.75" customHeight="1">
      <c r="A825" s="170"/>
      <c r="B825" s="178"/>
      <c r="D825" s="172"/>
      <c r="K825" s="172"/>
      <c r="L825" s="173"/>
      <c r="M825" s="174"/>
      <c r="N825" s="175"/>
      <c r="V825" s="176"/>
    </row>
    <row r="826" ht="15.75" customHeight="1">
      <c r="A826" s="170"/>
      <c r="B826" s="178"/>
      <c r="D826" s="172"/>
      <c r="K826" s="172"/>
      <c r="L826" s="173"/>
      <c r="M826" s="174"/>
      <c r="N826" s="175"/>
      <c r="V826" s="176"/>
    </row>
    <row r="827" ht="15.75" customHeight="1">
      <c r="A827" s="170"/>
      <c r="B827" s="178"/>
      <c r="D827" s="172"/>
      <c r="K827" s="172"/>
      <c r="L827" s="173"/>
      <c r="M827" s="174"/>
      <c r="N827" s="175"/>
      <c r="V827" s="176"/>
    </row>
    <row r="828" ht="15.75" customHeight="1">
      <c r="A828" s="170"/>
      <c r="B828" s="178"/>
      <c r="D828" s="172"/>
      <c r="K828" s="172"/>
      <c r="L828" s="173"/>
      <c r="M828" s="174"/>
      <c r="N828" s="175"/>
      <c r="V828" s="176"/>
    </row>
    <row r="829" ht="15.75" customHeight="1">
      <c r="A829" s="170"/>
      <c r="B829" s="178"/>
      <c r="D829" s="172"/>
      <c r="K829" s="172"/>
      <c r="L829" s="173"/>
      <c r="M829" s="174"/>
      <c r="N829" s="175"/>
      <c r="V829" s="176"/>
    </row>
    <row r="830" ht="15.75" customHeight="1">
      <c r="A830" s="170"/>
      <c r="B830" s="178"/>
      <c r="D830" s="172"/>
      <c r="K830" s="172"/>
      <c r="L830" s="173"/>
      <c r="M830" s="174"/>
      <c r="N830" s="175"/>
      <c r="V830" s="176"/>
    </row>
    <row r="831" ht="15.75" customHeight="1">
      <c r="A831" s="170"/>
      <c r="B831" s="178"/>
      <c r="D831" s="172"/>
      <c r="K831" s="172"/>
      <c r="L831" s="173"/>
      <c r="M831" s="174"/>
      <c r="N831" s="175"/>
      <c r="V831" s="176"/>
    </row>
    <row r="832" ht="15.75" customHeight="1">
      <c r="A832" s="170"/>
      <c r="B832" s="178"/>
      <c r="D832" s="172"/>
      <c r="K832" s="172"/>
      <c r="L832" s="173"/>
      <c r="M832" s="174"/>
      <c r="N832" s="175"/>
      <c r="V832" s="176"/>
    </row>
    <row r="833" ht="15.75" customHeight="1">
      <c r="A833" s="170"/>
      <c r="B833" s="178"/>
      <c r="D833" s="172"/>
      <c r="K833" s="172"/>
      <c r="L833" s="173"/>
      <c r="M833" s="174"/>
      <c r="N833" s="175"/>
      <c r="V833" s="176"/>
    </row>
    <row r="834" ht="15.75" customHeight="1">
      <c r="A834" s="170"/>
      <c r="B834" s="178"/>
      <c r="D834" s="172"/>
      <c r="K834" s="172"/>
      <c r="L834" s="173"/>
      <c r="M834" s="174"/>
      <c r="N834" s="175"/>
      <c r="V834" s="176"/>
    </row>
    <row r="835" ht="15.75" customHeight="1">
      <c r="A835" s="170"/>
      <c r="B835" s="178"/>
      <c r="D835" s="172"/>
      <c r="K835" s="172"/>
      <c r="L835" s="173"/>
      <c r="M835" s="174"/>
      <c r="N835" s="175"/>
      <c r="V835" s="176"/>
    </row>
    <row r="836" ht="15.75" customHeight="1">
      <c r="A836" s="170"/>
      <c r="B836" s="178"/>
      <c r="D836" s="172"/>
      <c r="K836" s="172"/>
      <c r="L836" s="173"/>
      <c r="M836" s="174"/>
      <c r="N836" s="175"/>
      <c r="V836" s="176"/>
    </row>
    <row r="837" ht="15.75" customHeight="1">
      <c r="A837" s="170"/>
      <c r="B837" s="178"/>
      <c r="D837" s="172"/>
      <c r="K837" s="172"/>
      <c r="L837" s="173"/>
      <c r="M837" s="174"/>
      <c r="N837" s="175"/>
      <c r="V837" s="176"/>
    </row>
    <row r="838" ht="15.75" customHeight="1">
      <c r="A838" s="170"/>
      <c r="B838" s="178"/>
      <c r="D838" s="172"/>
      <c r="K838" s="172"/>
      <c r="L838" s="173"/>
      <c r="M838" s="174"/>
      <c r="N838" s="175"/>
      <c r="V838" s="176"/>
    </row>
    <row r="839" ht="15.75" customHeight="1">
      <c r="A839" s="170"/>
      <c r="B839" s="178"/>
      <c r="D839" s="172"/>
      <c r="K839" s="172"/>
      <c r="L839" s="173"/>
      <c r="M839" s="174"/>
      <c r="N839" s="175"/>
      <c r="V839" s="176"/>
    </row>
    <row r="840" ht="15.75" customHeight="1">
      <c r="A840" s="170"/>
      <c r="B840" s="178"/>
      <c r="D840" s="172"/>
      <c r="K840" s="172"/>
      <c r="L840" s="173"/>
      <c r="M840" s="174"/>
      <c r="N840" s="175"/>
      <c r="V840" s="176"/>
    </row>
    <row r="841" ht="15.75" customHeight="1">
      <c r="A841" s="170"/>
      <c r="B841" s="178"/>
      <c r="D841" s="172"/>
      <c r="K841" s="172"/>
      <c r="L841" s="173"/>
      <c r="M841" s="174"/>
      <c r="N841" s="175"/>
      <c r="V841" s="176"/>
    </row>
    <row r="842" ht="15.75" customHeight="1">
      <c r="A842" s="170"/>
      <c r="B842" s="178"/>
      <c r="D842" s="172"/>
      <c r="K842" s="172"/>
      <c r="L842" s="173"/>
      <c r="M842" s="174"/>
      <c r="N842" s="175"/>
      <c r="V842" s="176"/>
    </row>
    <row r="843" ht="15.75" customHeight="1">
      <c r="A843" s="170"/>
      <c r="B843" s="178"/>
      <c r="D843" s="172"/>
      <c r="K843" s="172"/>
      <c r="L843" s="173"/>
      <c r="M843" s="174"/>
      <c r="N843" s="175"/>
      <c r="V843" s="176"/>
    </row>
    <row r="844" ht="15.75" customHeight="1">
      <c r="A844" s="170"/>
      <c r="B844" s="178"/>
      <c r="D844" s="172"/>
      <c r="K844" s="172"/>
      <c r="L844" s="173"/>
      <c r="M844" s="174"/>
      <c r="N844" s="175"/>
      <c r="V844" s="176"/>
    </row>
    <row r="845" ht="15.75" customHeight="1">
      <c r="A845" s="170"/>
      <c r="B845" s="178"/>
      <c r="D845" s="172"/>
      <c r="K845" s="172"/>
      <c r="L845" s="173"/>
      <c r="M845" s="174"/>
      <c r="N845" s="175"/>
      <c r="V845" s="176"/>
    </row>
    <row r="846" ht="15.75" customHeight="1">
      <c r="A846" s="170"/>
      <c r="B846" s="178"/>
      <c r="D846" s="172"/>
      <c r="K846" s="172"/>
      <c r="L846" s="173"/>
      <c r="M846" s="174"/>
      <c r="N846" s="175"/>
      <c r="V846" s="176"/>
    </row>
    <row r="847" ht="15.75" customHeight="1">
      <c r="A847" s="170"/>
      <c r="B847" s="178"/>
      <c r="D847" s="172"/>
      <c r="K847" s="172"/>
      <c r="L847" s="173"/>
      <c r="M847" s="174"/>
      <c r="N847" s="175"/>
      <c r="V847" s="176"/>
    </row>
    <row r="848" ht="15.75" customHeight="1">
      <c r="A848" s="170"/>
      <c r="B848" s="178"/>
      <c r="D848" s="172"/>
      <c r="K848" s="172"/>
      <c r="L848" s="173"/>
      <c r="M848" s="174"/>
      <c r="N848" s="175"/>
      <c r="V848" s="176"/>
    </row>
    <row r="849" ht="15.75" customHeight="1">
      <c r="A849" s="170"/>
      <c r="B849" s="178"/>
      <c r="D849" s="172"/>
      <c r="K849" s="172"/>
      <c r="L849" s="173"/>
      <c r="M849" s="174"/>
      <c r="N849" s="175"/>
      <c r="V849" s="176"/>
    </row>
    <row r="850" ht="15.75" customHeight="1">
      <c r="A850" s="170"/>
      <c r="B850" s="178"/>
      <c r="D850" s="172"/>
      <c r="K850" s="172"/>
      <c r="L850" s="173"/>
      <c r="M850" s="174"/>
      <c r="N850" s="175"/>
      <c r="V850" s="176"/>
    </row>
    <row r="851" ht="15.75" customHeight="1">
      <c r="A851" s="170"/>
      <c r="B851" s="178"/>
      <c r="D851" s="172"/>
      <c r="K851" s="172"/>
      <c r="L851" s="173"/>
      <c r="M851" s="174"/>
      <c r="N851" s="175"/>
      <c r="V851" s="176"/>
    </row>
    <row r="852" ht="15.75" customHeight="1">
      <c r="A852" s="170"/>
      <c r="B852" s="178"/>
      <c r="D852" s="172"/>
      <c r="K852" s="172"/>
      <c r="L852" s="173"/>
      <c r="M852" s="174"/>
      <c r="N852" s="175"/>
      <c r="V852" s="176"/>
    </row>
    <row r="853" ht="15.75" customHeight="1">
      <c r="A853" s="170"/>
      <c r="B853" s="178"/>
      <c r="D853" s="172"/>
      <c r="K853" s="172"/>
      <c r="L853" s="173"/>
      <c r="M853" s="174"/>
      <c r="N853" s="175"/>
      <c r="V853" s="176"/>
    </row>
    <row r="854" ht="15.75" customHeight="1">
      <c r="A854" s="170"/>
      <c r="B854" s="178"/>
      <c r="D854" s="172"/>
      <c r="K854" s="172"/>
      <c r="L854" s="173"/>
      <c r="M854" s="174"/>
      <c r="N854" s="175"/>
      <c r="V854" s="176"/>
    </row>
    <row r="855" ht="15.75" customHeight="1">
      <c r="A855" s="170"/>
      <c r="B855" s="178"/>
      <c r="D855" s="172"/>
      <c r="K855" s="172"/>
      <c r="L855" s="173"/>
      <c r="M855" s="174"/>
      <c r="N855" s="175"/>
      <c r="V855" s="176"/>
    </row>
    <row r="856" ht="15.75" customHeight="1">
      <c r="A856" s="170"/>
      <c r="B856" s="178"/>
      <c r="D856" s="172"/>
      <c r="K856" s="172"/>
      <c r="L856" s="173"/>
      <c r="M856" s="174"/>
      <c r="N856" s="175"/>
      <c r="V856" s="176"/>
    </row>
    <row r="857" ht="15.75" customHeight="1">
      <c r="A857" s="170"/>
      <c r="B857" s="178"/>
      <c r="D857" s="172"/>
      <c r="K857" s="172"/>
      <c r="L857" s="173"/>
      <c r="M857" s="174"/>
      <c r="N857" s="175"/>
      <c r="V857" s="176"/>
    </row>
    <row r="858" ht="15.75" customHeight="1">
      <c r="A858" s="170"/>
      <c r="B858" s="178"/>
      <c r="D858" s="172"/>
      <c r="K858" s="172"/>
      <c r="L858" s="173"/>
      <c r="M858" s="174"/>
      <c r="N858" s="175"/>
      <c r="V858" s="176"/>
    </row>
    <row r="859" ht="15.75" customHeight="1">
      <c r="A859" s="170"/>
      <c r="B859" s="178"/>
      <c r="D859" s="172"/>
      <c r="K859" s="172"/>
      <c r="L859" s="173"/>
      <c r="M859" s="174"/>
      <c r="N859" s="175"/>
      <c r="V859" s="176"/>
    </row>
    <row r="860" ht="15.75" customHeight="1">
      <c r="A860" s="170"/>
      <c r="B860" s="178"/>
      <c r="D860" s="172"/>
      <c r="K860" s="172"/>
      <c r="L860" s="173"/>
      <c r="M860" s="174"/>
      <c r="N860" s="175"/>
      <c r="V860" s="176"/>
    </row>
    <row r="861" ht="15.75" customHeight="1">
      <c r="A861" s="170"/>
      <c r="B861" s="178"/>
      <c r="D861" s="172"/>
      <c r="K861" s="172"/>
      <c r="L861" s="173"/>
      <c r="M861" s="174"/>
      <c r="N861" s="175"/>
      <c r="V861" s="176"/>
    </row>
    <row r="862" ht="15.75" customHeight="1">
      <c r="A862" s="170"/>
      <c r="B862" s="178"/>
      <c r="D862" s="172"/>
      <c r="K862" s="172"/>
      <c r="L862" s="173"/>
      <c r="M862" s="174"/>
      <c r="N862" s="175"/>
      <c r="V862" s="176"/>
    </row>
    <row r="863" ht="15.75" customHeight="1">
      <c r="A863" s="170"/>
      <c r="B863" s="178"/>
      <c r="D863" s="172"/>
      <c r="K863" s="172"/>
      <c r="L863" s="173"/>
      <c r="M863" s="174"/>
      <c r="N863" s="175"/>
      <c r="V863" s="176"/>
    </row>
    <row r="864" ht="15.75" customHeight="1">
      <c r="A864" s="170"/>
      <c r="B864" s="178"/>
      <c r="D864" s="172"/>
      <c r="K864" s="172"/>
      <c r="L864" s="173"/>
      <c r="M864" s="174"/>
      <c r="N864" s="175"/>
      <c r="V864" s="176"/>
    </row>
    <row r="865" ht="15.75" customHeight="1">
      <c r="A865" s="170"/>
      <c r="B865" s="178"/>
      <c r="D865" s="172"/>
      <c r="K865" s="172"/>
      <c r="L865" s="173"/>
      <c r="M865" s="174"/>
      <c r="N865" s="175"/>
      <c r="V865" s="176"/>
    </row>
    <row r="866" ht="15.75" customHeight="1">
      <c r="A866" s="170"/>
      <c r="B866" s="178"/>
      <c r="D866" s="172"/>
      <c r="K866" s="172"/>
      <c r="L866" s="173"/>
      <c r="M866" s="174"/>
      <c r="N866" s="175"/>
      <c r="V866" s="176"/>
    </row>
    <row r="867" ht="15.75" customHeight="1">
      <c r="A867" s="170"/>
      <c r="B867" s="178"/>
      <c r="D867" s="172"/>
      <c r="K867" s="172"/>
      <c r="L867" s="173"/>
      <c r="M867" s="174"/>
      <c r="N867" s="175"/>
      <c r="V867" s="176"/>
    </row>
    <row r="868" ht="15.75" customHeight="1">
      <c r="A868" s="170"/>
      <c r="B868" s="178"/>
      <c r="D868" s="172"/>
      <c r="K868" s="172"/>
      <c r="L868" s="173"/>
      <c r="M868" s="174"/>
      <c r="N868" s="175"/>
      <c r="V868" s="176"/>
    </row>
    <row r="869" ht="15.75" customHeight="1">
      <c r="A869" s="170"/>
      <c r="B869" s="178"/>
      <c r="D869" s="172"/>
      <c r="K869" s="172"/>
      <c r="L869" s="173"/>
      <c r="M869" s="174"/>
      <c r="N869" s="175"/>
      <c r="V869" s="176"/>
    </row>
    <row r="870" ht="15.75" customHeight="1">
      <c r="A870" s="170"/>
      <c r="B870" s="178"/>
      <c r="D870" s="172"/>
      <c r="K870" s="172"/>
      <c r="L870" s="173"/>
      <c r="M870" s="174"/>
      <c r="N870" s="175"/>
      <c r="V870" s="176"/>
    </row>
    <row r="871" ht="15.75" customHeight="1">
      <c r="A871" s="170"/>
      <c r="B871" s="178"/>
      <c r="D871" s="172"/>
      <c r="K871" s="172"/>
      <c r="L871" s="173"/>
      <c r="M871" s="174"/>
      <c r="N871" s="175"/>
      <c r="V871" s="176"/>
    </row>
    <row r="872" ht="15.75" customHeight="1">
      <c r="A872" s="170"/>
      <c r="B872" s="178"/>
      <c r="D872" s="172"/>
      <c r="K872" s="172"/>
      <c r="L872" s="173"/>
      <c r="M872" s="174"/>
      <c r="N872" s="175"/>
      <c r="V872" s="176"/>
    </row>
    <row r="873" ht="15.75" customHeight="1">
      <c r="A873" s="170"/>
      <c r="B873" s="178"/>
      <c r="D873" s="172"/>
      <c r="K873" s="172"/>
      <c r="L873" s="173"/>
      <c r="M873" s="174"/>
      <c r="N873" s="175"/>
      <c r="V873" s="176"/>
    </row>
    <row r="874" ht="15.75" customHeight="1">
      <c r="A874" s="170"/>
      <c r="B874" s="178"/>
      <c r="D874" s="172"/>
      <c r="K874" s="172"/>
      <c r="L874" s="173"/>
      <c r="M874" s="174"/>
      <c r="N874" s="175"/>
      <c r="V874" s="176"/>
    </row>
    <row r="875" ht="15.75" customHeight="1">
      <c r="A875" s="170"/>
      <c r="B875" s="178"/>
      <c r="D875" s="172"/>
      <c r="K875" s="172"/>
      <c r="L875" s="173"/>
      <c r="M875" s="174"/>
      <c r="N875" s="175"/>
      <c r="V875" s="176"/>
    </row>
    <row r="876" ht="15.75" customHeight="1">
      <c r="A876" s="170"/>
      <c r="B876" s="178"/>
      <c r="D876" s="172"/>
      <c r="K876" s="172"/>
      <c r="L876" s="173"/>
      <c r="M876" s="174"/>
      <c r="N876" s="175"/>
      <c r="V876" s="176"/>
    </row>
    <row r="877" ht="15.75" customHeight="1">
      <c r="A877" s="170"/>
      <c r="B877" s="178"/>
      <c r="D877" s="172"/>
      <c r="K877" s="172"/>
      <c r="L877" s="173"/>
      <c r="M877" s="174"/>
      <c r="N877" s="175"/>
      <c r="V877" s="176"/>
    </row>
    <row r="878" ht="15.75" customHeight="1">
      <c r="A878" s="170"/>
      <c r="B878" s="178"/>
      <c r="D878" s="172"/>
      <c r="K878" s="172"/>
      <c r="L878" s="173"/>
      <c r="M878" s="174"/>
      <c r="N878" s="175"/>
      <c r="V878" s="176"/>
    </row>
    <row r="879" ht="15.75" customHeight="1">
      <c r="A879" s="170"/>
      <c r="B879" s="178"/>
      <c r="D879" s="172"/>
      <c r="K879" s="172"/>
      <c r="L879" s="173"/>
      <c r="M879" s="174"/>
      <c r="N879" s="175"/>
      <c r="V879" s="176"/>
    </row>
    <row r="880" ht="15.75" customHeight="1">
      <c r="A880" s="170"/>
      <c r="B880" s="178"/>
      <c r="D880" s="172"/>
      <c r="K880" s="172"/>
      <c r="L880" s="173"/>
      <c r="M880" s="174"/>
      <c r="N880" s="175"/>
      <c r="V880" s="176"/>
    </row>
    <row r="881" ht="15.75" customHeight="1">
      <c r="A881" s="170"/>
      <c r="B881" s="178"/>
      <c r="D881" s="172"/>
      <c r="K881" s="172"/>
      <c r="L881" s="173"/>
      <c r="M881" s="174"/>
      <c r="N881" s="175"/>
      <c r="V881" s="176"/>
    </row>
    <row r="882" ht="15.75" customHeight="1">
      <c r="A882" s="170"/>
      <c r="B882" s="178"/>
      <c r="D882" s="172"/>
      <c r="K882" s="172"/>
      <c r="L882" s="173"/>
      <c r="M882" s="174"/>
      <c r="N882" s="175"/>
      <c r="V882" s="176"/>
    </row>
    <row r="883" ht="15.75" customHeight="1">
      <c r="A883" s="170"/>
      <c r="B883" s="178"/>
      <c r="D883" s="172"/>
      <c r="K883" s="172"/>
      <c r="L883" s="173"/>
      <c r="M883" s="174"/>
      <c r="N883" s="175"/>
      <c r="V883" s="176"/>
    </row>
    <row r="884" ht="15.75" customHeight="1">
      <c r="A884" s="170"/>
      <c r="B884" s="178"/>
      <c r="D884" s="172"/>
      <c r="K884" s="172"/>
      <c r="L884" s="173"/>
      <c r="M884" s="174"/>
      <c r="N884" s="175"/>
      <c r="V884" s="176"/>
    </row>
    <row r="885" ht="15.75" customHeight="1">
      <c r="A885" s="170"/>
      <c r="B885" s="178"/>
      <c r="D885" s="172"/>
      <c r="K885" s="172"/>
      <c r="L885" s="173"/>
      <c r="M885" s="174"/>
      <c r="N885" s="175"/>
      <c r="V885" s="176"/>
    </row>
    <row r="886" ht="15.75" customHeight="1">
      <c r="A886" s="170"/>
      <c r="B886" s="178"/>
      <c r="D886" s="172"/>
      <c r="K886" s="172"/>
      <c r="L886" s="173"/>
      <c r="M886" s="174"/>
      <c r="N886" s="175"/>
      <c r="V886" s="176"/>
    </row>
    <row r="887" ht="15.75" customHeight="1">
      <c r="A887" s="170"/>
      <c r="B887" s="178"/>
      <c r="D887" s="172"/>
      <c r="K887" s="172"/>
      <c r="L887" s="173"/>
      <c r="M887" s="174"/>
      <c r="N887" s="175"/>
      <c r="V887" s="176"/>
    </row>
    <row r="888" ht="15.75" customHeight="1">
      <c r="A888" s="170"/>
      <c r="B888" s="178"/>
      <c r="D888" s="172"/>
      <c r="K888" s="172"/>
      <c r="L888" s="173"/>
      <c r="M888" s="174"/>
      <c r="N888" s="175"/>
      <c r="V888" s="176"/>
    </row>
    <row r="889" ht="15.75" customHeight="1">
      <c r="A889" s="170"/>
      <c r="B889" s="178"/>
      <c r="D889" s="172"/>
      <c r="K889" s="172"/>
      <c r="L889" s="173"/>
      <c r="M889" s="174"/>
      <c r="N889" s="175"/>
      <c r="V889" s="176"/>
    </row>
    <row r="890" ht="15.75" customHeight="1">
      <c r="A890" s="170"/>
      <c r="B890" s="178"/>
      <c r="D890" s="172"/>
      <c r="K890" s="172"/>
      <c r="L890" s="173"/>
      <c r="M890" s="174"/>
      <c r="N890" s="175"/>
      <c r="V890" s="176"/>
    </row>
    <row r="891" ht="15.75" customHeight="1">
      <c r="A891" s="170"/>
      <c r="B891" s="178"/>
      <c r="D891" s="172"/>
      <c r="K891" s="172"/>
      <c r="L891" s="173"/>
      <c r="M891" s="174"/>
      <c r="N891" s="175"/>
      <c r="V891" s="176"/>
    </row>
    <row r="892" ht="15.75" customHeight="1">
      <c r="A892" s="170"/>
      <c r="B892" s="178"/>
      <c r="D892" s="172"/>
      <c r="K892" s="172"/>
      <c r="L892" s="173"/>
      <c r="M892" s="174"/>
      <c r="N892" s="175"/>
      <c r="V892" s="176"/>
    </row>
    <row r="893" ht="15.75" customHeight="1">
      <c r="A893" s="170"/>
      <c r="B893" s="178"/>
      <c r="D893" s="172"/>
      <c r="K893" s="172"/>
      <c r="L893" s="173"/>
      <c r="M893" s="174"/>
      <c r="N893" s="175"/>
      <c r="V893" s="176"/>
    </row>
    <row r="894" ht="15.75" customHeight="1">
      <c r="A894" s="170"/>
      <c r="B894" s="178"/>
      <c r="D894" s="172"/>
      <c r="K894" s="172"/>
      <c r="L894" s="173"/>
      <c r="M894" s="174"/>
      <c r="N894" s="175"/>
      <c r="V894" s="176"/>
    </row>
    <row r="895" ht="15.75" customHeight="1">
      <c r="A895" s="170"/>
      <c r="B895" s="178"/>
      <c r="D895" s="172"/>
      <c r="K895" s="172"/>
      <c r="L895" s="173"/>
      <c r="M895" s="174"/>
      <c r="N895" s="175"/>
      <c r="V895" s="176"/>
    </row>
    <row r="896" ht="15.75" customHeight="1">
      <c r="A896" s="170"/>
      <c r="B896" s="178"/>
      <c r="D896" s="172"/>
      <c r="K896" s="172"/>
      <c r="L896" s="173"/>
      <c r="M896" s="174"/>
      <c r="N896" s="175"/>
      <c r="V896" s="176"/>
    </row>
    <row r="897" ht="15.75" customHeight="1">
      <c r="A897" s="170"/>
      <c r="B897" s="178"/>
      <c r="D897" s="172"/>
      <c r="K897" s="172"/>
      <c r="L897" s="173"/>
      <c r="M897" s="174"/>
      <c r="N897" s="175"/>
      <c r="V897" s="176"/>
    </row>
    <row r="898" ht="15.75" customHeight="1">
      <c r="A898" s="170"/>
      <c r="B898" s="178"/>
      <c r="D898" s="172"/>
      <c r="K898" s="172"/>
      <c r="L898" s="173"/>
      <c r="M898" s="174"/>
      <c r="N898" s="175"/>
      <c r="V898" s="176"/>
    </row>
    <row r="899" ht="15.75" customHeight="1">
      <c r="A899" s="170"/>
      <c r="B899" s="178"/>
      <c r="D899" s="172"/>
      <c r="K899" s="172"/>
      <c r="L899" s="173"/>
      <c r="M899" s="174"/>
      <c r="N899" s="175"/>
      <c r="V899" s="176"/>
    </row>
    <row r="900" ht="15.75" customHeight="1">
      <c r="A900" s="170"/>
      <c r="B900" s="178"/>
      <c r="D900" s="172"/>
      <c r="K900" s="172"/>
      <c r="L900" s="173"/>
      <c r="M900" s="174"/>
      <c r="N900" s="175"/>
      <c r="V900" s="176"/>
    </row>
    <row r="901" ht="15.75" customHeight="1">
      <c r="A901" s="170"/>
      <c r="B901" s="178"/>
      <c r="D901" s="172"/>
      <c r="K901" s="172"/>
      <c r="L901" s="173"/>
      <c r="M901" s="174"/>
      <c r="N901" s="175"/>
      <c r="V901" s="176"/>
    </row>
    <row r="902" ht="15.75" customHeight="1">
      <c r="A902" s="170"/>
      <c r="B902" s="178"/>
      <c r="D902" s="172"/>
      <c r="K902" s="172"/>
      <c r="L902" s="173"/>
      <c r="M902" s="174"/>
      <c r="N902" s="175"/>
      <c r="V902" s="176"/>
    </row>
    <row r="903" ht="15.75" customHeight="1">
      <c r="A903" s="170"/>
      <c r="B903" s="178"/>
      <c r="D903" s="172"/>
      <c r="K903" s="172"/>
      <c r="L903" s="173"/>
      <c r="M903" s="174"/>
      <c r="N903" s="175"/>
      <c r="V903" s="176"/>
    </row>
    <row r="904" ht="15.75" customHeight="1">
      <c r="A904" s="170"/>
      <c r="B904" s="178"/>
      <c r="D904" s="172"/>
      <c r="K904" s="172"/>
      <c r="L904" s="173"/>
      <c r="M904" s="174"/>
      <c r="N904" s="175"/>
      <c r="V904" s="176"/>
    </row>
    <row r="905" ht="15.75" customHeight="1">
      <c r="A905" s="170"/>
      <c r="B905" s="178"/>
      <c r="D905" s="172"/>
      <c r="K905" s="172"/>
      <c r="L905" s="173"/>
      <c r="M905" s="174"/>
      <c r="N905" s="175"/>
      <c r="V905" s="176"/>
    </row>
    <row r="906" ht="15.75" customHeight="1">
      <c r="A906" s="170"/>
      <c r="B906" s="178"/>
      <c r="D906" s="172"/>
      <c r="K906" s="172"/>
      <c r="L906" s="173"/>
      <c r="M906" s="174"/>
      <c r="N906" s="175"/>
      <c r="V906" s="176"/>
    </row>
    <row r="907" ht="15.75" customHeight="1">
      <c r="A907" s="170"/>
      <c r="B907" s="178"/>
      <c r="D907" s="172"/>
      <c r="K907" s="172"/>
      <c r="L907" s="173"/>
      <c r="M907" s="174"/>
      <c r="N907" s="175"/>
      <c r="V907" s="176"/>
    </row>
    <row r="908" ht="15.75" customHeight="1">
      <c r="A908" s="170"/>
      <c r="B908" s="178"/>
      <c r="D908" s="172"/>
      <c r="K908" s="172"/>
      <c r="L908" s="173"/>
      <c r="M908" s="174"/>
      <c r="N908" s="175"/>
      <c r="V908" s="176"/>
    </row>
    <row r="909" ht="15.75" customHeight="1">
      <c r="A909" s="170"/>
      <c r="B909" s="178"/>
      <c r="D909" s="172"/>
      <c r="K909" s="172"/>
      <c r="L909" s="173"/>
      <c r="M909" s="174"/>
      <c r="N909" s="175"/>
      <c r="V909" s="176"/>
    </row>
    <row r="910" ht="15.75" customHeight="1">
      <c r="A910" s="170"/>
      <c r="B910" s="178"/>
      <c r="D910" s="172"/>
      <c r="K910" s="172"/>
      <c r="L910" s="173"/>
      <c r="M910" s="174"/>
      <c r="N910" s="175"/>
      <c r="V910" s="176"/>
    </row>
    <row r="911" ht="15.75" customHeight="1">
      <c r="A911" s="170"/>
      <c r="B911" s="178"/>
      <c r="D911" s="172"/>
      <c r="K911" s="172"/>
      <c r="L911" s="173"/>
      <c r="M911" s="174"/>
      <c r="N911" s="175"/>
      <c r="V911" s="176"/>
    </row>
    <row r="912" ht="15.75" customHeight="1">
      <c r="A912" s="170"/>
      <c r="B912" s="178"/>
      <c r="D912" s="172"/>
      <c r="K912" s="172"/>
      <c r="L912" s="173"/>
      <c r="M912" s="174"/>
      <c r="N912" s="175"/>
      <c r="V912" s="176"/>
    </row>
    <row r="913" ht="15.75" customHeight="1">
      <c r="A913" s="170"/>
      <c r="B913" s="178"/>
      <c r="D913" s="172"/>
      <c r="K913" s="172"/>
      <c r="L913" s="173"/>
      <c r="M913" s="174"/>
      <c r="N913" s="175"/>
      <c r="V913" s="176"/>
    </row>
    <row r="914" ht="15.75" customHeight="1">
      <c r="A914" s="170"/>
      <c r="B914" s="178"/>
      <c r="D914" s="172"/>
      <c r="K914" s="172"/>
      <c r="L914" s="173"/>
      <c r="M914" s="174"/>
      <c r="N914" s="175"/>
      <c r="V914" s="176"/>
    </row>
    <row r="915" ht="15.75" customHeight="1">
      <c r="A915" s="170"/>
      <c r="B915" s="178"/>
      <c r="D915" s="172"/>
      <c r="K915" s="172"/>
      <c r="L915" s="173"/>
      <c r="M915" s="174"/>
      <c r="N915" s="175"/>
      <c r="V915" s="176"/>
    </row>
    <row r="916" ht="15.75" customHeight="1">
      <c r="A916" s="170"/>
      <c r="B916" s="178"/>
      <c r="D916" s="172"/>
      <c r="K916" s="172"/>
      <c r="L916" s="173"/>
      <c r="M916" s="174"/>
      <c r="N916" s="175"/>
      <c r="V916" s="176"/>
    </row>
    <row r="917" ht="15.75" customHeight="1">
      <c r="A917" s="170"/>
      <c r="B917" s="178"/>
      <c r="D917" s="172"/>
      <c r="K917" s="172"/>
      <c r="L917" s="173"/>
      <c r="M917" s="174"/>
      <c r="N917" s="175"/>
      <c r="V917" s="176"/>
    </row>
    <row r="918" ht="15.75" customHeight="1">
      <c r="A918" s="170"/>
      <c r="B918" s="178"/>
      <c r="D918" s="172"/>
      <c r="K918" s="172"/>
      <c r="L918" s="173"/>
      <c r="M918" s="174"/>
      <c r="N918" s="175"/>
      <c r="V918" s="176"/>
    </row>
    <row r="919" ht="15.75" customHeight="1">
      <c r="A919" s="170"/>
      <c r="B919" s="178"/>
      <c r="D919" s="172"/>
      <c r="K919" s="172"/>
      <c r="L919" s="173"/>
      <c r="M919" s="174"/>
      <c r="N919" s="175"/>
      <c r="V919" s="176"/>
    </row>
    <row r="920" ht="15.75" customHeight="1">
      <c r="A920" s="170"/>
      <c r="B920" s="178"/>
      <c r="D920" s="172"/>
      <c r="K920" s="172"/>
      <c r="L920" s="173"/>
      <c r="M920" s="174"/>
      <c r="N920" s="175"/>
      <c r="V920" s="176"/>
    </row>
    <row r="921" ht="15.75" customHeight="1">
      <c r="A921" s="170"/>
      <c r="B921" s="178"/>
      <c r="D921" s="172"/>
      <c r="K921" s="172"/>
      <c r="L921" s="173"/>
      <c r="M921" s="174"/>
      <c r="N921" s="175"/>
      <c r="V921" s="176"/>
    </row>
    <row r="922" ht="15.75" customHeight="1">
      <c r="A922" s="170"/>
      <c r="B922" s="178"/>
      <c r="D922" s="172"/>
      <c r="K922" s="172"/>
      <c r="L922" s="173"/>
      <c r="M922" s="174"/>
      <c r="N922" s="175"/>
      <c r="V922" s="176"/>
    </row>
    <row r="923" ht="15.75" customHeight="1">
      <c r="A923" s="170"/>
      <c r="B923" s="178"/>
      <c r="D923" s="172"/>
      <c r="K923" s="172"/>
      <c r="L923" s="173"/>
      <c r="M923" s="174"/>
      <c r="N923" s="175"/>
      <c r="V923" s="176"/>
    </row>
    <row r="924" ht="15.75" customHeight="1">
      <c r="A924" s="170"/>
      <c r="B924" s="178"/>
      <c r="D924" s="172"/>
      <c r="K924" s="172"/>
      <c r="L924" s="173"/>
      <c r="M924" s="174"/>
      <c r="N924" s="175"/>
      <c r="V924" s="176"/>
    </row>
    <row r="925" ht="15.75" customHeight="1">
      <c r="A925" s="170"/>
      <c r="B925" s="178"/>
      <c r="D925" s="172"/>
      <c r="K925" s="172"/>
      <c r="L925" s="173"/>
      <c r="M925" s="174"/>
      <c r="N925" s="175"/>
      <c r="V925" s="176"/>
    </row>
    <row r="926" ht="15.75" customHeight="1">
      <c r="A926" s="170"/>
      <c r="B926" s="178"/>
      <c r="D926" s="172"/>
      <c r="K926" s="172"/>
      <c r="L926" s="173"/>
      <c r="M926" s="174"/>
      <c r="N926" s="175"/>
      <c r="V926" s="176"/>
    </row>
    <row r="927" ht="15.75" customHeight="1">
      <c r="A927" s="170"/>
      <c r="B927" s="178"/>
      <c r="D927" s="172"/>
      <c r="K927" s="172"/>
      <c r="L927" s="173"/>
      <c r="M927" s="174"/>
      <c r="N927" s="175"/>
      <c r="V927" s="176"/>
    </row>
    <row r="928" ht="15.75" customHeight="1">
      <c r="A928" s="170"/>
      <c r="B928" s="178"/>
      <c r="D928" s="172"/>
      <c r="K928" s="172"/>
      <c r="L928" s="173"/>
      <c r="M928" s="174"/>
      <c r="N928" s="175"/>
      <c r="V928" s="176"/>
    </row>
    <row r="929" ht="15.75" customHeight="1">
      <c r="A929" s="170"/>
      <c r="B929" s="178"/>
      <c r="D929" s="172"/>
      <c r="K929" s="172"/>
      <c r="L929" s="173"/>
      <c r="M929" s="174"/>
      <c r="N929" s="175"/>
      <c r="V929" s="176"/>
    </row>
    <row r="930" ht="15.75" customHeight="1">
      <c r="A930" s="170"/>
      <c r="B930" s="178"/>
      <c r="D930" s="172"/>
      <c r="K930" s="172"/>
      <c r="L930" s="173"/>
      <c r="M930" s="174"/>
      <c r="N930" s="175"/>
      <c r="V930" s="176"/>
    </row>
    <row r="931" ht="15.75" customHeight="1">
      <c r="A931" s="170"/>
      <c r="B931" s="178"/>
      <c r="D931" s="172"/>
      <c r="K931" s="172"/>
      <c r="L931" s="173"/>
      <c r="M931" s="174"/>
      <c r="N931" s="175"/>
      <c r="V931" s="176"/>
    </row>
    <row r="932" ht="15.75" customHeight="1">
      <c r="A932" s="170"/>
      <c r="B932" s="178"/>
      <c r="D932" s="172"/>
      <c r="K932" s="172"/>
      <c r="L932" s="173"/>
      <c r="M932" s="174"/>
      <c r="N932" s="175"/>
      <c r="V932" s="176"/>
    </row>
    <row r="933" ht="15.75" customHeight="1">
      <c r="A933" s="170"/>
      <c r="B933" s="178"/>
      <c r="D933" s="172"/>
      <c r="K933" s="172"/>
      <c r="L933" s="173"/>
      <c r="M933" s="174"/>
      <c r="N933" s="175"/>
      <c r="V933" s="176"/>
    </row>
    <row r="934" ht="15.75" customHeight="1">
      <c r="A934" s="170"/>
      <c r="B934" s="178"/>
      <c r="D934" s="172"/>
      <c r="K934" s="172"/>
      <c r="L934" s="173"/>
      <c r="M934" s="174"/>
      <c r="N934" s="175"/>
      <c r="V934" s="176"/>
    </row>
    <row r="935" ht="15.75" customHeight="1">
      <c r="A935" s="170"/>
      <c r="B935" s="178"/>
      <c r="D935" s="172"/>
      <c r="K935" s="172"/>
      <c r="L935" s="173"/>
      <c r="M935" s="174"/>
      <c r="N935" s="175"/>
      <c r="V935" s="176"/>
    </row>
    <row r="936" ht="15.75" customHeight="1">
      <c r="A936" s="170"/>
      <c r="B936" s="178"/>
      <c r="D936" s="172"/>
      <c r="K936" s="172"/>
      <c r="L936" s="173"/>
      <c r="M936" s="174"/>
      <c r="N936" s="175"/>
      <c r="V936" s="176"/>
    </row>
    <row r="937" ht="15.75" customHeight="1">
      <c r="A937" s="170"/>
      <c r="B937" s="178"/>
      <c r="D937" s="172"/>
      <c r="K937" s="172"/>
      <c r="L937" s="173"/>
      <c r="M937" s="174"/>
      <c r="N937" s="175"/>
      <c r="V937" s="176"/>
    </row>
    <row r="938" ht="15.75" customHeight="1">
      <c r="A938" s="170"/>
      <c r="B938" s="178"/>
      <c r="D938" s="172"/>
      <c r="K938" s="172"/>
      <c r="L938" s="173"/>
      <c r="M938" s="174"/>
      <c r="N938" s="175"/>
      <c r="V938" s="176"/>
    </row>
    <row r="939" ht="15.75" customHeight="1">
      <c r="A939" s="170"/>
      <c r="B939" s="178"/>
      <c r="D939" s="172"/>
      <c r="K939" s="172"/>
      <c r="L939" s="173"/>
      <c r="M939" s="174"/>
      <c r="N939" s="175"/>
      <c r="V939" s="176"/>
    </row>
    <row r="940" ht="15.75" customHeight="1">
      <c r="A940" s="170"/>
      <c r="B940" s="178"/>
      <c r="D940" s="172"/>
      <c r="K940" s="172"/>
      <c r="L940" s="173"/>
      <c r="M940" s="174"/>
      <c r="N940" s="175"/>
      <c r="V940" s="176"/>
    </row>
    <row r="941" ht="15.75" customHeight="1">
      <c r="A941" s="170"/>
      <c r="B941" s="178"/>
      <c r="D941" s="172"/>
      <c r="K941" s="172"/>
      <c r="L941" s="173"/>
      <c r="M941" s="174"/>
      <c r="N941" s="175"/>
      <c r="V941" s="176"/>
    </row>
    <row r="942" ht="15.75" customHeight="1">
      <c r="A942" s="170"/>
      <c r="B942" s="178"/>
      <c r="D942" s="172"/>
      <c r="K942" s="172"/>
      <c r="L942" s="173"/>
      <c r="M942" s="174"/>
      <c r="N942" s="175"/>
      <c r="V942" s="176"/>
    </row>
    <row r="943" ht="15.75" customHeight="1">
      <c r="A943" s="170"/>
      <c r="B943" s="178"/>
      <c r="D943" s="172"/>
      <c r="K943" s="172"/>
      <c r="L943" s="173"/>
      <c r="M943" s="174"/>
      <c r="N943" s="175"/>
      <c r="V943" s="176"/>
    </row>
    <row r="944" ht="15.75" customHeight="1">
      <c r="A944" s="170"/>
      <c r="B944" s="178"/>
      <c r="D944" s="172"/>
      <c r="K944" s="172"/>
      <c r="L944" s="173"/>
      <c r="M944" s="174"/>
      <c r="N944" s="175"/>
      <c r="V944" s="176"/>
    </row>
    <row r="945" ht="15.75" customHeight="1">
      <c r="A945" s="170"/>
      <c r="B945" s="178"/>
      <c r="D945" s="172"/>
      <c r="K945" s="172"/>
      <c r="L945" s="173"/>
      <c r="M945" s="174"/>
      <c r="N945" s="175"/>
      <c r="V945" s="176"/>
    </row>
    <row r="946" ht="15.75" customHeight="1">
      <c r="A946" s="170"/>
      <c r="B946" s="178"/>
      <c r="D946" s="172"/>
      <c r="K946" s="172"/>
      <c r="L946" s="173"/>
      <c r="M946" s="174"/>
      <c r="N946" s="175"/>
      <c r="V946" s="176"/>
    </row>
    <row r="947" ht="15.75" customHeight="1">
      <c r="A947" s="170"/>
      <c r="B947" s="178"/>
      <c r="D947" s="172"/>
      <c r="K947" s="172"/>
      <c r="L947" s="173"/>
      <c r="M947" s="174"/>
      <c r="N947" s="175"/>
      <c r="V947" s="176"/>
    </row>
    <row r="948" ht="15.75" customHeight="1">
      <c r="A948" s="170"/>
      <c r="B948" s="178"/>
      <c r="D948" s="172"/>
      <c r="K948" s="172"/>
      <c r="L948" s="173"/>
      <c r="M948" s="174"/>
      <c r="N948" s="175"/>
      <c r="V948" s="176"/>
    </row>
    <row r="949" ht="15.75" customHeight="1">
      <c r="A949" s="170"/>
      <c r="B949" s="178"/>
      <c r="D949" s="172"/>
      <c r="K949" s="172"/>
      <c r="L949" s="173"/>
      <c r="M949" s="174"/>
      <c r="N949" s="175"/>
      <c r="V949" s="176"/>
    </row>
  </sheetData>
  <autoFilter ref="$A$5:$T$54"/>
  <mergeCells count="3">
    <mergeCell ref="C4:J4"/>
    <mergeCell ref="M4:Q4"/>
    <mergeCell ref="R4:T4"/>
  </mergeCells>
  <conditionalFormatting sqref="P3 P6:P949">
    <cfRule type="cellIs" dxfId="0" priority="1" operator="greaterThan">
      <formula>0</formula>
    </cfRule>
  </conditionalFormatting>
  <conditionalFormatting sqref="C6:L51">
    <cfRule type="cellIs" dxfId="1" priority="2" operator="equal">
      <formula>0</formula>
    </cfRule>
  </conditionalFormatting>
  <dataValidations>
    <dataValidation type="list" allowBlank="1" showErrorMessage="1" sqref="Q6:Q51">
      <formula1>"Venmo,Credit Card,Cash,Zelle,PayPal,Cash App,Apple Cash,Other"</formula1>
    </dataValidation>
    <dataValidation type="list" allowBlank="1" showErrorMessage="1" sqref="S6:T51">
      <formula1>"No,Partial,Yes"</formula1>
    </dataValidation>
    <dataValidation type="list" allowBlank="1" showErrorMessage="1" sqref="U6:U51">
      <formula1>"No,Yes"</formula1>
    </dataValidation>
    <dataValidation type="list" allowBlank="1" showErrorMessage="1" sqref="R6:R51">
      <formula1>"N/A,No,Yes"</formula1>
    </dataValidation>
  </dataValidations>
  <printOptions/>
  <pageMargins bottom="0.25" footer="0.0" header="0.0" left="0.25" right="0.25" top="0.25"/>
  <pageSetup fitToHeight="0" orientation="portrait"/>
  <drawing r:id="rId1"/>
</worksheet>
</file>